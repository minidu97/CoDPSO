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=10 Comparison" sheetId="1" state="visible" r:id="rId1"/>
    <sheet name="D=20 Comparison" sheetId="2" state="visible" r:id="rId2"/>
    <sheet name="Raw Data D=10" sheetId="3" state="visible" r:id="rId3"/>
    <sheet name="Raw Data D=2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1" fontId="2" fillId="4" borderId="1" applyAlignment="1" pivotButton="0" quotePrefix="0" xfId="0">
      <alignment horizontal="center" vertical="center"/>
    </xf>
    <xf numFmtId="11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1" fontId="2" fillId="6" borderId="1" applyAlignment="1" pivotButton="0" quotePrefix="0" xfId="0">
      <alignment horizontal="center" vertical="center"/>
    </xf>
    <xf numFmtId="11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1" fontId="3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8" customWidth="1" min="11" max="11"/>
  </cols>
  <sheetData>
    <row r="1" ht="28" customHeight="1">
      <c r="A1" s="1" t="inlineStr">
        <is>
          <t>CoDPSO Results Comparison — CEC 2022 (D=10)</t>
        </is>
      </c>
    </row>
    <row r="2" ht="22" customHeight="1">
      <c r="A2" s="2" t="inlineStr">
        <is>
          <t>Function</t>
        </is>
      </c>
      <c r="B2" s="2" t="inlineStr">
        <is>
          <t>Paper Mean</t>
        </is>
      </c>
      <c r="C2" s="2" t="inlineStr">
        <is>
          <t>Paper Std</t>
        </is>
      </c>
      <c r="D2" s="2" t="inlineStr">
        <is>
          <t>My Mean</t>
        </is>
      </c>
      <c r="E2" s="2" t="inlineStr">
        <is>
          <t>My Std</t>
        </is>
      </c>
      <c r="F2" s="2" t="inlineStr">
        <is>
          <t>My Best</t>
        </is>
      </c>
      <c r="G2" s="2" t="inlineStr">
        <is>
          <t>My Worst</t>
        </is>
      </c>
      <c r="H2" s="2" t="inlineStr">
        <is>
          <t>Diff (Mean)</t>
        </is>
      </c>
      <c r="I2" s="2" t="inlineStr">
        <is>
          <t>Diff (Std)</t>
        </is>
      </c>
      <c r="J2" s="2" t="inlineStr">
        <is>
          <t>Mean Better?</t>
        </is>
      </c>
      <c r="K2" s="2" t="inlineStr">
        <is>
          <t>Notes</t>
        </is>
      </c>
    </row>
    <row r="3">
      <c r="A3" s="3" t="inlineStr">
        <is>
          <t>F1 - Zakharov</t>
        </is>
      </c>
      <c r="B3" s="4" t="n">
        <v>300</v>
      </c>
      <c r="C3" s="4" t="n">
        <v>0</v>
      </c>
      <c r="D3" s="4" t="n">
        <v>345.181845833064</v>
      </c>
      <c r="E3" s="4" t="n">
        <v>30.29306902623741</v>
      </c>
      <c r="F3" s="4" t="n">
        <v>306.1476926699696</v>
      </c>
      <c r="G3" s="4" t="n">
        <v>411.0842677640592</v>
      </c>
      <c r="H3" s="5" t="n">
        <v>45.18184583306396</v>
      </c>
      <c r="I3" s="4" t="n">
        <v>30.29306902623741</v>
      </c>
      <c r="J3" s="6" t="inlineStr">
        <is>
          <t>❌ Worse</t>
        </is>
      </c>
      <c r="K3" s="3" t="inlineStr"/>
    </row>
    <row r="4">
      <c r="A4" s="7" t="inlineStr">
        <is>
          <t>F2 - Rosenbrock</t>
        </is>
      </c>
      <c r="B4" s="8" t="n">
        <v>400.78</v>
      </c>
      <c r="C4" s="8" t="n">
        <v>1.95</v>
      </c>
      <c r="D4" s="8" t="n">
        <v>408.4648190028985</v>
      </c>
      <c r="E4" s="8" t="n">
        <v>5.114745059415579</v>
      </c>
      <c r="F4" s="8" t="n">
        <v>400.7968474534707</v>
      </c>
      <c r="G4" s="8" t="n">
        <v>424.3937663438297</v>
      </c>
      <c r="H4" s="5" t="n">
        <v>7.684819002898564</v>
      </c>
      <c r="I4" s="8" t="n">
        <v>3.164745059415579</v>
      </c>
      <c r="J4" s="6" t="inlineStr">
        <is>
          <t>❌ Worse</t>
        </is>
      </c>
      <c r="K4" s="7" t="inlineStr"/>
    </row>
    <row r="5">
      <c r="A5" s="3" t="inlineStr">
        <is>
          <t>F3 - Schaffer f6</t>
        </is>
      </c>
      <c r="B5" s="4" t="n">
        <v>600</v>
      </c>
      <c r="C5" s="4" t="n">
        <v>0.00898</v>
      </c>
      <c r="D5" s="4" t="n">
        <v>600.0004570904993</v>
      </c>
      <c r="E5" s="4" t="n">
        <v>0.0002876415047275072</v>
      </c>
      <c r="F5" s="4" t="n">
        <v>600.000120201376</v>
      </c>
      <c r="G5" s="4" t="n">
        <v>600.001207269429</v>
      </c>
      <c r="H5" s="5" t="n">
        <v>0.0004570904992533542</v>
      </c>
      <c r="I5" s="4" t="n">
        <v>-0.008692358495272492</v>
      </c>
      <c r="J5" s="6" t="inlineStr">
        <is>
          <t>❌ Worse</t>
        </is>
      </c>
      <c r="K5" s="3" t="inlineStr"/>
    </row>
    <row r="6">
      <c r="A6" s="7" t="inlineStr">
        <is>
          <t>F4 - Rastrigin</t>
        </is>
      </c>
      <c r="B6" s="8" t="n">
        <v>806.83</v>
      </c>
      <c r="C6" s="8" t="n">
        <v>2.67</v>
      </c>
      <c r="D6" s="8" t="n">
        <v>831.9067013214733</v>
      </c>
      <c r="E6" s="8" t="n">
        <v>8.543666086518538</v>
      </c>
      <c r="F6" s="8" t="n">
        <v>814.1295186661062</v>
      </c>
      <c r="G6" s="8" t="n">
        <v>852.1923257442302</v>
      </c>
      <c r="H6" s="5" t="n">
        <v>25.07670132147325</v>
      </c>
      <c r="I6" s="8" t="n">
        <v>5.873666086518538</v>
      </c>
      <c r="J6" s="6" t="inlineStr">
        <is>
          <t>❌ Worse</t>
        </is>
      </c>
      <c r="K6" s="7" t="inlineStr"/>
    </row>
    <row r="7">
      <c r="A7" s="3" t="inlineStr">
        <is>
          <t>F5 - Levy</t>
        </is>
      </c>
      <c r="B7" s="4" t="n">
        <v>900.01</v>
      </c>
      <c r="C7" s="4" t="n">
        <v>0.0413</v>
      </c>
      <c r="D7" s="4" t="n">
        <v>900.1261108857981</v>
      </c>
      <c r="E7" s="4" t="n">
        <v>0.1220116415699311</v>
      </c>
      <c r="F7" s="4" t="n">
        <v>900.0010050738578</v>
      </c>
      <c r="G7" s="4" t="n">
        <v>900.5503285757802</v>
      </c>
      <c r="H7" s="5" t="n">
        <v>0.1161108857980935</v>
      </c>
      <c r="I7" s="4" t="n">
        <v>0.08071164156993112</v>
      </c>
      <c r="J7" s="6" t="inlineStr">
        <is>
          <t>❌ Worse</t>
        </is>
      </c>
      <c r="K7" s="3" t="inlineStr"/>
    </row>
    <row r="8">
      <c r="A8" s="7" t="inlineStr">
        <is>
          <t>F6 - Hybrid 1</t>
        </is>
      </c>
      <c r="B8" s="8" t="n">
        <v>1871.86</v>
      </c>
      <c r="C8" s="8" t="n">
        <v>59.1</v>
      </c>
      <c r="D8" s="8" t="n">
        <v>16395.9759788934</v>
      </c>
      <c r="E8" s="8" t="n">
        <v>5401.716371880299</v>
      </c>
      <c r="F8" s="8" t="n">
        <v>8026.248019343919</v>
      </c>
      <c r="G8" s="8" t="n">
        <v>27430.13192133232</v>
      </c>
      <c r="H8" s="5" t="n">
        <v>14524.1159788934</v>
      </c>
      <c r="I8" s="8" t="n">
        <v>5342.616371880299</v>
      </c>
      <c r="J8" s="6" t="inlineStr">
        <is>
          <t>❌ Worse</t>
        </is>
      </c>
      <c r="K8" s="7" t="inlineStr"/>
    </row>
    <row r="9">
      <c r="A9" s="3" t="inlineStr">
        <is>
          <t>F7 - Hybrid 2</t>
        </is>
      </c>
      <c r="B9" s="4" t="n">
        <v>2009.35</v>
      </c>
      <c r="C9" s="4" t="n">
        <v>9.66</v>
      </c>
      <c r="D9" s="4" t="n">
        <v>2041.08111176205</v>
      </c>
      <c r="E9" s="4" t="n">
        <v>8.67636700441915</v>
      </c>
      <c r="F9" s="4" t="n">
        <v>2030.284147056672</v>
      </c>
      <c r="G9" s="4" t="n">
        <v>2067.898854828567</v>
      </c>
      <c r="H9" s="5" t="n">
        <v>31.73111176205043</v>
      </c>
      <c r="I9" s="4" t="n">
        <v>-0.9836329955808498</v>
      </c>
      <c r="J9" s="6" t="inlineStr">
        <is>
          <t>❌ Worse</t>
        </is>
      </c>
      <c r="K9" s="3" t="inlineStr"/>
    </row>
    <row r="10">
      <c r="A10" s="7" t="inlineStr">
        <is>
          <t>F8 - Hybrid 3</t>
        </is>
      </c>
      <c r="B10" s="8" t="n">
        <v>2210.06</v>
      </c>
      <c r="C10" s="8" t="n">
        <v>10</v>
      </c>
      <c r="D10" s="8" t="n">
        <v>2252.152061477382</v>
      </c>
      <c r="E10" s="8" t="n">
        <v>22.04641774298475</v>
      </c>
      <c r="F10" s="8" t="n">
        <v>2225.812189027058</v>
      </c>
      <c r="G10" s="8" t="n">
        <v>2306.559774649785</v>
      </c>
      <c r="H10" s="5" t="n">
        <v>42.09206147738223</v>
      </c>
      <c r="I10" s="8" t="n">
        <v>12.04641774298475</v>
      </c>
      <c r="J10" s="6" t="inlineStr">
        <is>
          <t>❌ Worse</t>
        </is>
      </c>
      <c r="K10" s="7" t="inlineStr"/>
    </row>
    <row r="11">
      <c r="A11" s="3" t="inlineStr">
        <is>
          <t>F9 - Composition 1</t>
        </is>
      </c>
      <c r="B11" s="4" t="n">
        <v>2529.28</v>
      </c>
      <c r="C11" s="4" t="n">
        <v>0</v>
      </c>
      <c r="D11" s="4" t="n">
        <v>2466.994728515501</v>
      </c>
      <c r="E11" s="4" t="n">
        <v>176.1999832259334</v>
      </c>
      <c r="F11" s="4" t="n">
        <v>2304.658901879289</v>
      </c>
      <c r="G11" s="4" t="n">
        <v>2736.450985556699</v>
      </c>
      <c r="H11" s="9" t="n">
        <v>-62.28527148449894</v>
      </c>
      <c r="I11" s="4" t="n">
        <v>176.1999832259334</v>
      </c>
      <c r="J11" s="10" t="inlineStr">
        <is>
          <t>✅ Better</t>
        </is>
      </c>
      <c r="K11" s="3" t="inlineStr"/>
    </row>
    <row r="12">
      <c r="A12" s="7" t="inlineStr">
        <is>
          <t>F10 - Composition 2</t>
        </is>
      </c>
      <c r="B12" s="8" t="n">
        <v>2500.64</v>
      </c>
      <c r="C12" s="8" t="n">
        <v>0.518</v>
      </c>
      <c r="D12" s="8" t="n">
        <v>2628.099555650998</v>
      </c>
      <c r="E12" s="8" t="n">
        <v>4.082246430819266</v>
      </c>
      <c r="F12" s="8" t="n">
        <v>2622.896698373681</v>
      </c>
      <c r="G12" s="8" t="n">
        <v>2641.273796909476</v>
      </c>
      <c r="H12" s="5" t="n">
        <v>127.459555650998</v>
      </c>
      <c r="I12" s="8" t="n">
        <v>3.564246430819266</v>
      </c>
      <c r="J12" s="6" t="inlineStr">
        <is>
          <t>❌ Worse</t>
        </is>
      </c>
      <c r="K12" s="7" t="inlineStr"/>
    </row>
    <row r="13">
      <c r="A13" s="3" t="inlineStr">
        <is>
          <t>F11 - Composition 3</t>
        </is>
      </c>
      <c r="B13" s="4" t="n">
        <v>2610</v>
      </c>
      <c r="C13" s="4" t="n">
        <v>54.8</v>
      </c>
      <c r="D13" s="4" t="n">
        <v>2604.981720840861</v>
      </c>
      <c r="E13" s="4" t="n">
        <v>4.975927508039526</v>
      </c>
      <c r="F13" s="4" t="n">
        <v>2600.848361263776</v>
      </c>
      <c r="G13" s="4" t="n">
        <v>2620.493057678433</v>
      </c>
      <c r="H13" s="9" t="n">
        <v>-5.018279159138729</v>
      </c>
      <c r="I13" s="4" t="n">
        <v>-49.82407249196047</v>
      </c>
      <c r="J13" s="10" t="inlineStr">
        <is>
          <t>✅ Better</t>
        </is>
      </c>
      <c r="K13" s="3" t="inlineStr"/>
    </row>
    <row r="14">
      <c r="A14" s="7" t="inlineStr">
        <is>
          <t>F12 - Composition 4</t>
        </is>
      </c>
      <c r="B14" s="8" t="n">
        <v>2861.61</v>
      </c>
      <c r="C14" s="8" t="n">
        <v>0.946</v>
      </c>
      <c r="D14" s="8" t="n">
        <v>2867.159387166466</v>
      </c>
      <c r="E14" s="8" t="n">
        <v>17.79378470288678</v>
      </c>
      <c r="F14" s="8" t="n">
        <v>2771.900797700995</v>
      </c>
      <c r="G14" s="8" t="n">
        <v>2875.966828463754</v>
      </c>
      <c r="H14" s="5" t="n">
        <v>5.549387166466204</v>
      </c>
      <c r="I14" s="8" t="n">
        <v>16.84778470288677</v>
      </c>
      <c r="J14" s="6" t="inlineStr">
        <is>
          <t>❌ Worse</t>
        </is>
      </c>
      <c r="K14" s="7" t="inlineStr"/>
    </row>
    <row r="15">
      <c r="A15" s="11" t="inlineStr">
        <is>
          <t>Summary</t>
        </is>
      </c>
      <c r="D15" s="12">
        <f>COUNTIF(J3:J14,"*Better*")</f>
        <v/>
      </c>
      <c r="E15" s="12" t="inlineStr">
        <is>
          <t>Functions Better</t>
        </is>
      </c>
      <c r="F15" s="12">
        <f>COUNTIF(J3:J14,"*Worse*")</f>
        <v/>
      </c>
      <c r="G15" s="12" t="inlineStr">
        <is>
          <t>Functions Worse</t>
        </is>
      </c>
      <c r="H15" s="12">
        <f>COUNTIF(J3:J14,"*Equal*")</f>
        <v/>
      </c>
      <c r="I15" s="12" t="inlineStr">
        <is>
          <t>Functions Equal</t>
        </is>
      </c>
    </row>
  </sheetData>
  <mergeCells count="2">
    <mergeCell ref="A15:C1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8" customWidth="1" min="11" max="11"/>
  </cols>
  <sheetData>
    <row r="1" ht="28" customHeight="1">
      <c r="A1" s="1" t="inlineStr">
        <is>
          <t>CoDPSO Results Comparison — CEC 2022 (D=20)</t>
        </is>
      </c>
    </row>
    <row r="2" ht="22" customHeight="1">
      <c r="A2" s="2" t="inlineStr">
        <is>
          <t>Function</t>
        </is>
      </c>
      <c r="B2" s="2" t="inlineStr">
        <is>
          <t>Paper Mean</t>
        </is>
      </c>
      <c r="C2" s="2" t="inlineStr">
        <is>
          <t>Paper Std</t>
        </is>
      </c>
      <c r="D2" s="2" t="inlineStr">
        <is>
          <t>My Mean</t>
        </is>
      </c>
      <c r="E2" s="2" t="inlineStr">
        <is>
          <t>My Std</t>
        </is>
      </c>
      <c r="F2" s="2" t="inlineStr">
        <is>
          <t>My Best</t>
        </is>
      </c>
      <c r="G2" s="2" t="inlineStr">
        <is>
          <t>My Worst</t>
        </is>
      </c>
      <c r="H2" s="2" t="inlineStr">
        <is>
          <t>Diff (Mean)</t>
        </is>
      </c>
      <c r="I2" s="2" t="inlineStr">
        <is>
          <t>Diff (Std)</t>
        </is>
      </c>
      <c r="J2" s="2" t="inlineStr">
        <is>
          <t>Mean Better?</t>
        </is>
      </c>
      <c r="K2" s="2" t="inlineStr">
        <is>
          <t>Notes</t>
        </is>
      </c>
    </row>
    <row r="3">
      <c r="A3" s="3" t="inlineStr">
        <is>
          <t>F1 - Zakharov</t>
        </is>
      </c>
      <c r="B3" s="4" t="n">
        <v>300</v>
      </c>
      <c r="C3" s="4" t="n">
        <v>1.83e-14</v>
      </c>
      <c r="D3" s="4" t="n">
        <v/>
      </c>
      <c r="E3" s="4" t="n">
        <v/>
      </c>
      <c r="F3" s="4" t="n">
        <v/>
      </c>
      <c r="G3" s="4" t="n">
        <v/>
      </c>
      <c r="H3" s="4" t="n">
        <v/>
      </c>
      <c r="I3" s="4" t="n">
        <v/>
      </c>
      <c r="J3" s="6" t="inlineStr">
        <is>
          <t>❌ Worse</t>
        </is>
      </c>
      <c r="K3" s="3" t="inlineStr"/>
    </row>
    <row r="4">
      <c r="A4" s="7" t="inlineStr">
        <is>
          <t>F2 - Rosenbrock</t>
        </is>
      </c>
      <c r="B4" s="8" t="n">
        <v>422.16</v>
      </c>
      <c r="C4" s="8" t="n">
        <v>28.8</v>
      </c>
      <c r="D4" s="8" t="n">
        <v/>
      </c>
      <c r="E4" s="8" t="n">
        <v/>
      </c>
      <c r="F4" s="8" t="n">
        <v/>
      </c>
      <c r="G4" s="8" t="n">
        <v/>
      </c>
      <c r="H4" s="8" t="n">
        <v/>
      </c>
      <c r="I4" s="8" t="n">
        <v/>
      </c>
      <c r="J4" s="6" t="inlineStr">
        <is>
          <t>❌ Worse</t>
        </is>
      </c>
      <c r="K4" s="7" t="inlineStr"/>
    </row>
    <row r="5">
      <c r="A5" s="3" t="inlineStr">
        <is>
          <t>F3 - Schaffer f6</t>
        </is>
      </c>
      <c r="B5" s="4" t="n">
        <v>600.53</v>
      </c>
      <c r="C5" s="4" t="n">
        <v>0.777</v>
      </c>
      <c r="D5" s="4" t="n">
        <v/>
      </c>
      <c r="E5" s="4" t="n">
        <v/>
      </c>
      <c r="F5" s="4" t="n">
        <v/>
      </c>
      <c r="G5" s="4" t="n">
        <v/>
      </c>
      <c r="H5" s="4" t="n">
        <v/>
      </c>
      <c r="I5" s="4" t="n">
        <v/>
      </c>
      <c r="J5" s="6" t="inlineStr">
        <is>
          <t>❌ Worse</t>
        </is>
      </c>
      <c r="K5" s="3" t="inlineStr"/>
    </row>
    <row r="6">
      <c r="A6" s="7" t="inlineStr">
        <is>
          <t>F4 - Rastrigin</t>
        </is>
      </c>
      <c r="B6" s="8" t="n">
        <v>831.46</v>
      </c>
      <c r="C6" s="8" t="n">
        <v>6.29</v>
      </c>
      <c r="D6" s="8" t="n">
        <v/>
      </c>
      <c r="E6" s="8" t="n">
        <v/>
      </c>
      <c r="F6" s="8" t="n">
        <v/>
      </c>
      <c r="G6" s="8" t="n">
        <v/>
      </c>
      <c r="H6" s="8" t="n">
        <v/>
      </c>
      <c r="I6" s="8" t="n">
        <v/>
      </c>
      <c r="J6" s="6" t="inlineStr">
        <is>
          <t>❌ Worse</t>
        </is>
      </c>
      <c r="K6" s="7" t="inlineStr"/>
    </row>
    <row r="7">
      <c r="A7" s="3" t="inlineStr">
        <is>
          <t>F5 - Levy</t>
        </is>
      </c>
      <c r="B7" s="4" t="n">
        <v>905.96</v>
      </c>
      <c r="C7" s="4" t="n">
        <v>6.8</v>
      </c>
      <c r="D7" s="4" t="n">
        <v/>
      </c>
      <c r="E7" s="4" t="n">
        <v/>
      </c>
      <c r="F7" s="4" t="n">
        <v/>
      </c>
      <c r="G7" s="4" t="n">
        <v/>
      </c>
      <c r="H7" s="4" t="n">
        <v/>
      </c>
      <c r="I7" s="4" t="n">
        <v/>
      </c>
      <c r="J7" s="6" t="inlineStr">
        <is>
          <t>❌ Worse</t>
        </is>
      </c>
      <c r="K7" s="3" t="inlineStr"/>
    </row>
    <row r="8">
      <c r="A8" s="7" t="inlineStr">
        <is>
          <t>F6 - Hybrid 1</t>
        </is>
      </c>
      <c r="B8" s="8" t="n">
        <v>2050.76</v>
      </c>
      <c r="C8" s="8" t="n">
        <v>210</v>
      </c>
      <c r="D8" s="8" t="n">
        <v/>
      </c>
      <c r="E8" s="8" t="n">
        <v/>
      </c>
      <c r="F8" s="8" t="n">
        <v/>
      </c>
      <c r="G8" s="8" t="n">
        <v/>
      </c>
      <c r="H8" s="8" t="n">
        <v/>
      </c>
      <c r="I8" s="8" t="n">
        <v/>
      </c>
      <c r="J8" s="6" t="inlineStr">
        <is>
          <t>❌ Worse</t>
        </is>
      </c>
      <c r="K8" s="7" t="inlineStr"/>
    </row>
    <row r="9">
      <c r="A9" s="3" t="inlineStr">
        <is>
          <t>F7 - Hybrid 2</t>
        </is>
      </c>
      <c r="B9" s="4" t="n">
        <v>2035.73</v>
      </c>
      <c r="C9" s="4" t="n">
        <v>13.7</v>
      </c>
      <c r="D9" s="4" t="n">
        <v/>
      </c>
      <c r="E9" s="4" t="n">
        <v/>
      </c>
      <c r="F9" s="4" t="n">
        <v/>
      </c>
      <c r="G9" s="4" t="n">
        <v/>
      </c>
      <c r="H9" s="4" t="n">
        <v/>
      </c>
      <c r="I9" s="4" t="n">
        <v/>
      </c>
      <c r="J9" s="6" t="inlineStr">
        <is>
          <t>❌ Worse</t>
        </is>
      </c>
      <c r="K9" s="3" t="inlineStr"/>
    </row>
    <row r="10">
      <c r="A10" s="7" t="inlineStr">
        <is>
          <t>F8 - Hybrid 3</t>
        </is>
      </c>
      <c r="B10" s="8" t="n">
        <v>2223.4</v>
      </c>
      <c r="C10" s="8" t="n">
        <v>3.44</v>
      </c>
      <c r="D10" s="8" t="n">
        <v/>
      </c>
      <c r="E10" s="8" t="n">
        <v/>
      </c>
      <c r="F10" s="8" t="n">
        <v/>
      </c>
      <c r="G10" s="8" t="n">
        <v/>
      </c>
      <c r="H10" s="8" t="n">
        <v/>
      </c>
      <c r="I10" s="8" t="n">
        <v/>
      </c>
      <c r="J10" s="6" t="inlineStr">
        <is>
          <t>❌ Worse</t>
        </is>
      </c>
      <c r="K10" s="7" t="inlineStr"/>
    </row>
    <row r="11">
      <c r="A11" s="3" t="inlineStr">
        <is>
          <t>F9 - Composition 1</t>
        </is>
      </c>
      <c r="B11" s="4" t="n">
        <v>2480.78</v>
      </c>
      <c r="C11" s="4" t="n">
        <v>1.17e-12</v>
      </c>
      <c r="D11" s="4" t="n">
        <v/>
      </c>
      <c r="E11" s="4" t="n">
        <v/>
      </c>
      <c r="F11" s="4" t="n">
        <v/>
      </c>
      <c r="G11" s="4" t="n">
        <v/>
      </c>
      <c r="H11" s="4" t="n">
        <v/>
      </c>
      <c r="I11" s="4" t="n">
        <v/>
      </c>
      <c r="J11" s="6" t="inlineStr">
        <is>
          <t>❌ Worse</t>
        </is>
      </c>
      <c r="K11" s="3" t="inlineStr"/>
    </row>
    <row r="12">
      <c r="A12" s="7" t="inlineStr">
        <is>
          <t>F10 - Composition 2</t>
        </is>
      </c>
      <c r="B12" s="8" t="n">
        <v>2516.76</v>
      </c>
      <c r="C12" s="8" t="n">
        <v>53.8</v>
      </c>
      <c r="D12" s="8" t="n">
        <v/>
      </c>
      <c r="E12" s="8" t="n">
        <v/>
      </c>
      <c r="F12" s="8" t="n">
        <v/>
      </c>
      <c r="G12" s="8" t="n">
        <v/>
      </c>
      <c r="H12" s="8" t="n">
        <v/>
      </c>
      <c r="I12" s="8" t="n">
        <v/>
      </c>
      <c r="J12" s="6" t="inlineStr">
        <is>
          <t>❌ Worse</t>
        </is>
      </c>
      <c r="K12" s="7" t="inlineStr"/>
    </row>
    <row r="13">
      <c r="A13" s="3" t="inlineStr">
        <is>
          <t>F11 - Composition 3</t>
        </is>
      </c>
      <c r="B13" s="4" t="n">
        <v>2853.42</v>
      </c>
      <c r="C13" s="4" t="n">
        <v>158</v>
      </c>
      <c r="D13" s="4" t="n">
        <v/>
      </c>
      <c r="E13" s="4" t="n">
        <v/>
      </c>
      <c r="F13" s="4" t="n">
        <v/>
      </c>
      <c r="G13" s="4" t="n">
        <v/>
      </c>
      <c r="H13" s="4" t="n">
        <v/>
      </c>
      <c r="I13" s="4" t="n">
        <v/>
      </c>
      <c r="J13" s="6" t="inlineStr">
        <is>
          <t>❌ Worse</t>
        </is>
      </c>
      <c r="K13" s="3" t="inlineStr"/>
    </row>
    <row r="14">
      <c r="A14" s="7" t="inlineStr">
        <is>
          <t>F12 - Composition 4</t>
        </is>
      </c>
      <c r="B14" s="8" t="n">
        <v>2947.63</v>
      </c>
      <c r="C14" s="8" t="n">
        <v>3.88</v>
      </c>
      <c r="D14" s="8" t="n">
        <v/>
      </c>
      <c r="E14" s="8" t="n">
        <v/>
      </c>
      <c r="F14" s="8" t="n">
        <v/>
      </c>
      <c r="G14" s="8" t="n">
        <v/>
      </c>
      <c r="H14" s="8" t="n">
        <v/>
      </c>
      <c r="I14" s="8" t="n">
        <v/>
      </c>
      <c r="J14" s="6" t="inlineStr">
        <is>
          <t>❌ Worse</t>
        </is>
      </c>
      <c r="K14" s="7" t="inlineStr"/>
    </row>
    <row r="15">
      <c r="A15" s="11" t="inlineStr">
        <is>
          <t>Summary</t>
        </is>
      </c>
      <c r="D15" s="12">
        <f>COUNTIF(J3:J14,"*Better*")</f>
        <v/>
      </c>
      <c r="E15" s="12" t="inlineStr">
        <is>
          <t>Functions Better</t>
        </is>
      </c>
      <c r="F15" s="12">
        <f>COUNTIF(J3:J14,"*Worse*")</f>
        <v/>
      </c>
      <c r="G15" s="12" t="inlineStr">
        <is>
          <t>Functions Worse</t>
        </is>
      </c>
      <c r="H15" s="12">
        <f>COUNTIF(J3:J14,"*Equal*")</f>
        <v/>
      </c>
      <c r="I15" s="12" t="inlineStr">
        <is>
          <t>Functions Equal</t>
        </is>
      </c>
    </row>
  </sheetData>
  <mergeCells count="2">
    <mergeCell ref="A15:C15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 ht="24" customHeight="1">
      <c r="A1" s="1" t="inlineStr">
        <is>
          <t>Raw Run Results — CEC 2022 (D=10) — 30 Independent Runs</t>
        </is>
      </c>
    </row>
    <row r="2" ht="20" customHeight="1">
      <c r="A2" s="2" t="inlineStr">
        <is>
          <t>Function</t>
        </is>
      </c>
      <c r="B2" s="2" t="inlineStr">
        <is>
          <t>Run 1</t>
        </is>
      </c>
      <c r="C2" s="2" t="inlineStr">
        <is>
          <t>Run 2</t>
        </is>
      </c>
      <c r="D2" s="2" t="inlineStr">
        <is>
          <t>Run 3</t>
        </is>
      </c>
      <c r="E2" s="2" t="inlineStr">
        <is>
          <t>Run 4</t>
        </is>
      </c>
      <c r="F2" s="2" t="inlineStr">
        <is>
          <t>Run 5</t>
        </is>
      </c>
      <c r="G2" s="2" t="inlineStr">
        <is>
          <t>Run 6</t>
        </is>
      </c>
      <c r="H2" s="2" t="inlineStr">
        <is>
          <t>Run 7</t>
        </is>
      </c>
      <c r="I2" s="2" t="inlineStr">
        <is>
          <t>Run 8</t>
        </is>
      </c>
      <c r="J2" s="2" t="inlineStr">
        <is>
          <t>Run 9</t>
        </is>
      </c>
      <c r="K2" s="2" t="inlineStr">
        <is>
          <t>Run 10</t>
        </is>
      </c>
      <c r="L2" s="2" t="inlineStr">
        <is>
          <t>Run 11</t>
        </is>
      </c>
      <c r="M2" s="2" t="inlineStr">
        <is>
          <t>Run 12</t>
        </is>
      </c>
      <c r="N2" s="2" t="inlineStr">
        <is>
          <t>Run 13</t>
        </is>
      </c>
      <c r="O2" s="2" t="inlineStr">
        <is>
          <t>Run 14</t>
        </is>
      </c>
      <c r="P2" s="2" t="inlineStr">
        <is>
          <t>Run 15</t>
        </is>
      </c>
      <c r="Q2" s="2" t="inlineStr">
        <is>
          <t>Run 16</t>
        </is>
      </c>
      <c r="R2" s="2" t="inlineStr">
        <is>
          <t>Run 17</t>
        </is>
      </c>
      <c r="S2" s="2" t="inlineStr">
        <is>
          <t>Run 18</t>
        </is>
      </c>
      <c r="T2" s="2" t="inlineStr">
        <is>
          <t>Run 19</t>
        </is>
      </c>
      <c r="U2" s="2" t="inlineStr">
        <is>
          <t>Run 20</t>
        </is>
      </c>
      <c r="V2" s="2" t="inlineStr">
        <is>
          <t>Run 21</t>
        </is>
      </c>
      <c r="W2" s="2" t="inlineStr">
        <is>
          <t>Run 22</t>
        </is>
      </c>
      <c r="X2" s="2" t="inlineStr">
        <is>
          <t>Run 23</t>
        </is>
      </c>
      <c r="Y2" s="2" t="inlineStr">
        <is>
          <t>Run 24</t>
        </is>
      </c>
      <c r="Z2" s="2" t="inlineStr">
        <is>
          <t>Run 25</t>
        </is>
      </c>
      <c r="AA2" s="2" t="inlineStr">
        <is>
          <t>Run 26</t>
        </is>
      </c>
      <c r="AB2" s="2" t="inlineStr">
        <is>
          <t>Run 27</t>
        </is>
      </c>
      <c r="AC2" s="2" t="inlineStr">
        <is>
          <t>Run 28</t>
        </is>
      </c>
      <c r="AD2" s="2" t="inlineStr">
        <is>
          <t>Run 29</t>
        </is>
      </c>
      <c r="AE2" s="2" t="inlineStr">
        <is>
          <t>Run 30</t>
        </is>
      </c>
      <c r="AF2" s="2" t="inlineStr">
        <is>
          <t>Mean</t>
        </is>
      </c>
      <c r="AG2" s="2" t="inlineStr">
        <is>
          <t>Std</t>
        </is>
      </c>
      <c r="AH2" s="2" t="inlineStr">
        <is>
          <t>Best</t>
        </is>
      </c>
      <c r="AI2" s="2" t="inlineStr">
        <is>
          <t>Worst</t>
        </is>
      </c>
    </row>
    <row r="3">
      <c r="A3" s="13" t="inlineStr">
        <is>
          <t>F1 - Zakharov</t>
        </is>
      </c>
      <c r="B3" s="4" t="n">
        <v>313.4126559636028</v>
      </c>
      <c r="C3" s="4" t="n">
        <v>337.2909840939007</v>
      </c>
      <c r="D3" s="4" t="n">
        <v>375.4442361283058</v>
      </c>
      <c r="E3" s="4" t="n">
        <v>379.9446665079954</v>
      </c>
      <c r="F3" s="4" t="n">
        <v>390.2193838521342</v>
      </c>
      <c r="G3" s="4" t="n">
        <v>384.0810558967423</v>
      </c>
      <c r="H3" s="4" t="n">
        <v>331.7103012488654</v>
      </c>
      <c r="I3" s="4" t="n">
        <v>335.3377165432498</v>
      </c>
      <c r="J3" s="4" t="n">
        <v>346.6656496303086</v>
      </c>
      <c r="K3" s="4" t="n">
        <v>319.0765076863389</v>
      </c>
      <c r="L3" s="4" t="n">
        <v>405.2236218930587</v>
      </c>
      <c r="M3" s="4" t="n">
        <v>323.2037253741299</v>
      </c>
      <c r="N3" s="4" t="n">
        <v>325.4441639346269</v>
      </c>
      <c r="O3" s="4" t="n">
        <v>311.0887874237838</v>
      </c>
      <c r="P3" s="4" t="n">
        <v>336.4232640528134</v>
      </c>
      <c r="Q3" s="4" t="n">
        <v>325.2696189508326</v>
      </c>
      <c r="R3" s="4" t="n">
        <v>408.3534969285226</v>
      </c>
      <c r="S3" s="4" t="n">
        <v>370.7521070600787</v>
      </c>
      <c r="T3" s="4" t="n">
        <v>329.8648090784183</v>
      </c>
      <c r="U3" s="4" t="n">
        <v>341.4179398120684</v>
      </c>
      <c r="V3" s="4" t="n">
        <v>313.1024958775163</v>
      </c>
      <c r="W3" s="4" t="n">
        <v>340.4186124163563</v>
      </c>
      <c r="X3" s="4" t="n">
        <v>334.6408262866108</v>
      </c>
      <c r="Y3" s="4" t="n">
        <v>306.1476926699696</v>
      </c>
      <c r="Z3" s="4" t="n">
        <v>320.1490701219569</v>
      </c>
      <c r="AA3" s="4" t="n">
        <v>337.9709514515097</v>
      </c>
      <c r="AB3" s="4" t="n">
        <v>353.5065626131245</v>
      </c>
      <c r="AC3" s="4" t="n">
        <v>411.0842677640592</v>
      </c>
      <c r="AD3" s="4" t="n">
        <v>332.9976239841735</v>
      </c>
      <c r="AE3" s="4" t="n">
        <v>315.2125797468669</v>
      </c>
      <c r="AF3" s="14">
        <f>AVERAGE(B3:AE3)</f>
        <v/>
      </c>
      <c r="AG3" s="14">
        <f>STDEV(B3:AE3)</f>
        <v/>
      </c>
      <c r="AH3" s="14">
        <f>MIN(B3:AE3)</f>
        <v/>
      </c>
      <c r="AI3" s="14">
        <f>MAX(B3:AE3)</f>
        <v/>
      </c>
    </row>
    <row r="4">
      <c r="A4" s="15" t="inlineStr">
        <is>
          <t>F2 - Rosenbrock</t>
        </is>
      </c>
      <c r="B4" s="8" t="n">
        <v>424.3937663438297</v>
      </c>
      <c r="C4" s="8" t="n">
        <v>402.8457604779274</v>
      </c>
      <c r="D4" s="8" t="n">
        <v>404.1788813231053</v>
      </c>
      <c r="E4" s="8" t="n">
        <v>410.7874202072824</v>
      </c>
      <c r="F4" s="8" t="n">
        <v>405.3752642601632</v>
      </c>
      <c r="G4" s="8" t="n">
        <v>403.2455908741349</v>
      </c>
      <c r="H4" s="8" t="n">
        <v>408.3233374841845</v>
      </c>
      <c r="I4" s="8" t="n">
        <v>409.40643487083</v>
      </c>
      <c r="J4" s="8" t="n">
        <v>409.5046056397618</v>
      </c>
      <c r="K4" s="8" t="n">
        <v>403.5166351945191</v>
      </c>
      <c r="L4" s="8" t="n">
        <v>409.4112171563142</v>
      </c>
      <c r="M4" s="8" t="n">
        <v>408.1346291148105</v>
      </c>
      <c r="N4" s="8" t="n">
        <v>409.9382673569907</v>
      </c>
      <c r="O4" s="8" t="n">
        <v>419.4795139742663</v>
      </c>
      <c r="P4" s="8" t="n">
        <v>406.5194891224456</v>
      </c>
      <c r="Q4" s="8" t="n">
        <v>405.9934006984309</v>
      </c>
      <c r="R4" s="8" t="n">
        <v>400.7968474534707</v>
      </c>
      <c r="S4" s="8" t="n">
        <v>408.345015510872</v>
      </c>
      <c r="T4" s="8" t="n">
        <v>405.2891547137615</v>
      </c>
      <c r="U4" s="8" t="n">
        <v>408.3236229655973</v>
      </c>
      <c r="V4" s="8" t="n">
        <v>407.8264006010087</v>
      </c>
      <c r="W4" s="8" t="n">
        <v>420.2031715340316</v>
      </c>
      <c r="X4" s="8" t="n">
        <v>405.544899425205</v>
      </c>
      <c r="Y4" s="8" t="n">
        <v>409.2355261958505</v>
      </c>
      <c r="Z4" s="8" t="n">
        <v>409.4245737510728</v>
      </c>
      <c r="AA4" s="8" t="n">
        <v>411.2195480676954</v>
      </c>
      <c r="AB4" s="8" t="n">
        <v>409.0779145417025</v>
      </c>
      <c r="AC4" s="8" t="n">
        <v>410.2424292599096</v>
      </c>
      <c r="AD4" s="8" t="n">
        <v>405.1026502204277</v>
      </c>
      <c r="AE4" s="8" t="n">
        <v>402.2586017473569</v>
      </c>
      <c r="AF4" s="14">
        <f>AVERAGE(B4:AE4)</f>
        <v/>
      </c>
      <c r="AG4" s="14">
        <f>STDEV(B4:AE4)</f>
        <v/>
      </c>
      <c r="AH4" s="14">
        <f>MIN(B4:AE4)</f>
        <v/>
      </c>
      <c r="AI4" s="14">
        <f>MAX(B4:AE4)</f>
        <v/>
      </c>
    </row>
    <row r="5">
      <c r="A5" s="13" t="inlineStr">
        <is>
          <t>F3 - Schaffer f6</t>
        </is>
      </c>
      <c r="B5" s="4" t="n">
        <v>600.0002273891405</v>
      </c>
      <c r="C5" s="4" t="n">
        <v>600.0002736671415</v>
      </c>
      <c r="D5" s="4" t="n">
        <v>600.0007238576698</v>
      </c>
      <c r="E5" s="4" t="n">
        <v>600.0001919568209</v>
      </c>
      <c r="F5" s="4" t="n">
        <v>600.000708553602</v>
      </c>
      <c r="G5" s="4" t="n">
        <v>600.000743723118</v>
      </c>
      <c r="H5" s="4" t="n">
        <v>600.0005779759616</v>
      </c>
      <c r="I5" s="4" t="n">
        <v>600.0001799146617</v>
      </c>
      <c r="J5" s="4" t="n">
        <v>600.0004031304838</v>
      </c>
      <c r="K5" s="4" t="n">
        <v>600.0005477299048</v>
      </c>
      <c r="L5" s="4" t="n">
        <v>600.0011179132409</v>
      </c>
      <c r="M5" s="4" t="n">
        <v>600.0003959326563</v>
      </c>
      <c r="N5" s="4" t="n">
        <v>600.0005704353255</v>
      </c>
      <c r="O5" s="4" t="n">
        <v>600.0003962533476</v>
      </c>
      <c r="P5" s="4" t="n">
        <v>600.0003034464156</v>
      </c>
      <c r="Q5" s="4" t="n">
        <v>600.000120201376</v>
      </c>
      <c r="R5" s="4" t="n">
        <v>600.0001213282396</v>
      </c>
      <c r="S5" s="4" t="n">
        <v>600.00032069113</v>
      </c>
      <c r="T5" s="4" t="n">
        <v>600.001207269429</v>
      </c>
      <c r="U5" s="4" t="n">
        <v>600.0002547921056</v>
      </c>
      <c r="V5" s="4" t="n">
        <v>600.0002993350519</v>
      </c>
      <c r="W5" s="4" t="n">
        <v>600.0001463883023</v>
      </c>
      <c r="X5" s="4" t="n">
        <v>600.0009732247598</v>
      </c>
      <c r="Y5" s="4" t="n">
        <v>600.0002423185354</v>
      </c>
      <c r="Z5" s="4" t="n">
        <v>600.0002349870488</v>
      </c>
      <c r="AA5" s="4" t="n">
        <v>600.0008253288937</v>
      </c>
      <c r="AB5" s="4" t="n">
        <v>600.0003286806904</v>
      </c>
      <c r="AC5" s="4" t="n">
        <v>600.0003071832139</v>
      </c>
      <c r="AD5" s="4" t="n">
        <v>600.0003900830684</v>
      </c>
      <c r="AE5" s="4" t="n">
        <v>600.0005790236473</v>
      </c>
      <c r="AF5" s="14">
        <f>AVERAGE(B5:AE5)</f>
        <v/>
      </c>
      <c r="AG5" s="14">
        <f>STDEV(B5:AE5)</f>
        <v/>
      </c>
      <c r="AH5" s="14">
        <f>MIN(B5:AE5)</f>
        <v/>
      </c>
      <c r="AI5" s="14">
        <f>MAX(B5:AE5)</f>
        <v/>
      </c>
    </row>
    <row r="6">
      <c r="A6" s="15" t="inlineStr">
        <is>
          <t>F4 - Rastrigin</t>
        </is>
      </c>
      <c r="B6" s="8" t="n">
        <v>836.0021483789112</v>
      </c>
      <c r="C6" s="8" t="n">
        <v>833.0302199587759</v>
      </c>
      <c r="D6" s="8" t="n">
        <v>830.0014026021304</v>
      </c>
      <c r="E6" s="8" t="n">
        <v>822.2652551014608</v>
      </c>
      <c r="F6" s="8" t="n">
        <v>828.0001066994865</v>
      </c>
      <c r="G6" s="8" t="n">
        <v>822.0029426701964</v>
      </c>
      <c r="H6" s="8" t="n">
        <v>824.0467211189184</v>
      </c>
      <c r="I6" s="8" t="n">
        <v>830.0217078200501</v>
      </c>
      <c r="J6" s="8" t="n">
        <v>825.3411142320588</v>
      </c>
      <c r="K6" s="8" t="n">
        <v>826.0166750558752</v>
      </c>
      <c r="L6" s="8" t="n">
        <v>818.0062023269475</v>
      </c>
      <c r="M6" s="8" t="n">
        <v>842.0000012096277</v>
      </c>
      <c r="N6" s="8" t="n">
        <v>828.0000078975903</v>
      </c>
      <c r="O6" s="8" t="n">
        <v>838.0000246772718</v>
      </c>
      <c r="P6" s="8" t="n">
        <v>834.0000417862917</v>
      </c>
      <c r="Q6" s="8" t="n">
        <v>838.000147364875</v>
      </c>
      <c r="R6" s="8" t="n">
        <v>844.0003479411943</v>
      </c>
      <c r="S6" s="8" t="n">
        <v>814.1295186661062</v>
      </c>
      <c r="T6" s="8" t="n">
        <v>828.0004657437663</v>
      </c>
      <c r="U6" s="8" t="n">
        <v>852.1923257442302</v>
      </c>
      <c r="V6" s="8" t="n">
        <v>834.0020267099786</v>
      </c>
      <c r="W6" s="8" t="n">
        <v>830.0000000022815</v>
      </c>
      <c r="X6" s="8" t="n">
        <v>840.0000000135816</v>
      </c>
      <c r="Y6" s="8" t="n">
        <v>832.1373333874581</v>
      </c>
      <c r="Z6" s="8" t="n">
        <v>830.0000006824802</v>
      </c>
      <c r="AA6" s="8" t="n">
        <v>818.0002704727765</v>
      </c>
      <c r="AB6" s="8" t="n">
        <v>838.0002235043919</v>
      </c>
      <c r="AC6" s="8" t="n">
        <v>842.0000001489008</v>
      </c>
      <c r="AD6" s="8" t="n">
        <v>840.0029701603926</v>
      </c>
      <c r="AE6" s="8" t="n">
        <v>840.0008375661903</v>
      </c>
      <c r="AF6" s="14">
        <f>AVERAGE(B6:AE6)</f>
        <v/>
      </c>
      <c r="AG6" s="14">
        <f>STDEV(B6:AE6)</f>
        <v/>
      </c>
      <c r="AH6" s="14">
        <f>MIN(B6:AE6)</f>
        <v/>
      </c>
      <c r="AI6" s="14">
        <f>MAX(B6:AE6)</f>
        <v/>
      </c>
    </row>
    <row r="7">
      <c r="A7" s="13" t="inlineStr">
        <is>
          <t>F5 - Levy</t>
        </is>
      </c>
      <c r="B7" s="4" t="n">
        <v>900.1916847082483</v>
      </c>
      <c r="C7" s="4" t="n">
        <v>900.0969001257412</v>
      </c>
      <c r="D7" s="4" t="n">
        <v>900.1825591087454</v>
      </c>
      <c r="E7" s="4" t="n">
        <v>900.1164078732747</v>
      </c>
      <c r="F7" s="4" t="n">
        <v>900.1027371814454</v>
      </c>
      <c r="G7" s="4" t="n">
        <v>900.1394674776589</v>
      </c>
      <c r="H7" s="4" t="n">
        <v>900.0944757633981</v>
      </c>
      <c r="I7" s="4" t="n">
        <v>900.2745462573658</v>
      </c>
      <c r="J7" s="4" t="n">
        <v>900.0051467051944</v>
      </c>
      <c r="K7" s="4" t="n">
        <v>900.0275231315167</v>
      </c>
      <c r="L7" s="4" t="n">
        <v>900.099825855645</v>
      </c>
      <c r="M7" s="4" t="n">
        <v>900.0913153154254</v>
      </c>
      <c r="N7" s="4" t="n">
        <v>900.011300626036</v>
      </c>
      <c r="O7" s="4" t="n">
        <v>900.185212340993</v>
      </c>
      <c r="P7" s="4" t="n">
        <v>900.0152885214983</v>
      </c>
      <c r="Q7" s="4" t="n">
        <v>900.4265293827985</v>
      </c>
      <c r="R7" s="4" t="n">
        <v>900.0149480471133</v>
      </c>
      <c r="S7" s="4" t="n">
        <v>900.218883963784</v>
      </c>
      <c r="T7" s="4" t="n">
        <v>900.1810117836706</v>
      </c>
      <c r="U7" s="4" t="n">
        <v>900.0182604812841</v>
      </c>
      <c r="V7" s="4" t="n">
        <v>900.1954392487061</v>
      </c>
      <c r="W7" s="4" t="n">
        <v>900.1303992339252</v>
      </c>
      <c r="X7" s="4" t="n">
        <v>900.0700510429348</v>
      </c>
      <c r="Y7" s="4" t="n">
        <v>900.5503285757802</v>
      </c>
      <c r="Z7" s="4" t="n">
        <v>900.0098240967367</v>
      </c>
      <c r="AA7" s="4" t="n">
        <v>900.1597430123992</v>
      </c>
      <c r="AB7" s="4" t="n">
        <v>900.0825812377839</v>
      </c>
      <c r="AC7" s="4" t="n">
        <v>900.0497014634282</v>
      </c>
      <c r="AD7" s="4" t="n">
        <v>900.0402289375528</v>
      </c>
      <c r="AE7" s="4" t="n">
        <v>900.0010050738578</v>
      </c>
      <c r="AF7" s="14">
        <f>AVERAGE(B7:AE7)</f>
        <v/>
      </c>
      <c r="AG7" s="14">
        <f>STDEV(B7:AE7)</f>
        <v/>
      </c>
      <c r="AH7" s="14">
        <f>MIN(B7:AE7)</f>
        <v/>
      </c>
      <c r="AI7" s="14">
        <f>MAX(B7:AE7)</f>
        <v/>
      </c>
    </row>
    <row r="8">
      <c r="A8" s="15" t="inlineStr">
        <is>
          <t>F6 - Hybrid 1</t>
        </is>
      </c>
      <c r="B8" s="8" t="n">
        <v>16268.33053928933</v>
      </c>
      <c r="C8" s="8" t="n">
        <v>25216.14537628783</v>
      </c>
      <c r="D8" s="8" t="n">
        <v>13479.98989140366</v>
      </c>
      <c r="E8" s="8" t="n">
        <v>19079.75090996408</v>
      </c>
      <c r="F8" s="8" t="n">
        <v>17010.663824534</v>
      </c>
      <c r="G8" s="8" t="n">
        <v>13947.42841285069</v>
      </c>
      <c r="H8" s="8" t="n">
        <v>18632.3980160672</v>
      </c>
      <c r="I8" s="8" t="n">
        <v>11157.94615056496</v>
      </c>
      <c r="J8" s="8" t="n">
        <v>23275.70073267048</v>
      </c>
      <c r="K8" s="8" t="n">
        <v>10177.22205918188</v>
      </c>
      <c r="L8" s="8" t="n">
        <v>16626.37245660527</v>
      </c>
      <c r="M8" s="8" t="n">
        <v>10384.61547152551</v>
      </c>
      <c r="N8" s="8" t="n">
        <v>16025.81276136762</v>
      </c>
      <c r="O8" s="8" t="n">
        <v>9332.769157526162</v>
      </c>
      <c r="P8" s="8" t="n">
        <v>15100.08453336068</v>
      </c>
      <c r="Q8" s="8" t="n">
        <v>23113.23941599866</v>
      </c>
      <c r="R8" s="8" t="n">
        <v>18435.96856835578</v>
      </c>
      <c r="S8" s="8" t="n">
        <v>11344.31214572256</v>
      </c>
      <c r="T8" s="8" t="n">
        <v>8026.248019343919</v>
      </c>
      <c r="U8" s="8" t="n">
        <v>24226.62198342237</v>
      </c>
      <c r="V8" s="8" t="n">
        <v>17711.37984775598</v>
      </c>
      <c r="W8" s="8" t="n">
        <v>10773.69862069204</v>
      </c>
      <c r="X8" s="8" t="n">
        <v>14829.08174701569</v>
      </c>
      <c r="Y8" s="8" t="n">
        <v>17323.48032025368</v>
      </c>
      <c r="Z8" s="8" t="n">
        <v>21227.24305089428</v>
      </c>
      <c r="AA8" s="8" t="n">
        <v>10244.78966460783</v>
      </c>
      <c r="AB8" s="8" t="n">
        <v>11846.99284504811</v>
      </c>
      <c r="AC8" s="8" t="n">
        <v>27430.13192133232</v>
      </c>
      <c r="AD8" s="8" t="n">
        <v>12769.51576232177</v>
      </c>
      <c r="AE8" s="8" t="n">
        <v>26861.34516083766</v>
      </c>
      <c r="AF8" s="14">
        <f>AVERAGE(B8:AE8)</f>
        <v/>
      </c>
      <c r="AG8" s="14">
        <f>STDEV(B8:AE8)</f>
        <v/>
      </c>
      <c r="AH8" s="14">
        <f>MIN(B8:AE8)</f>
        <v/>
      </c>
      <c r="AI8" s="14">
        <f>MAX(B8:AE8)</f>
        <v/>
      </c>
    </row>
    <row r="9">
      <c r="A9" s="13" t="inlineStr">
        <is>
          <t>F7 - Hybrid 2</t>
        </is>
      </c>
      <c r="B9" s="4" t="n">
        <v>2039.796543040454</v>
      </c>
      <c r="C9" s="4" t="n">
        <v>2057.311142102101</v>
      </c>
      <c r="D9" s="4" t="n">
        <v>2044.542439550895</v>
      </c>
      <c r="E9" s="4" t="n">
        <v>2040.260366907062</v>
      </c>
      <c r="F9" s="4" t="n">
        <v>2042.420652649301</v>
      </c>
      <c r="G9" s="4" t="n">
        <v>2031.84612595214</v>
      </c>
      <c r="H9" s="4" t="n">
        <v>2035.401322136589</v>
      </c>
      <c r="I9" s="4" t="n">
        <v>2041.127256799809</v>
      </c>
      <c r="J9" s="4" t="n">
        <v>2041.774464209781</v>
      </c>
      <c r="K9" s="4" t="n">
        <v>2033.151680772403</v>
      </c>
      <c r="L9" s="4" t="n">
        <v>2035.741163662973</v>
      </c>
      <c r="M9" s="4" t="n">
        <v>2030.284147056672</v>
      </c>
      <c r="N9" s="4" t="n">
        <v>2031.402346577123</v>
      </c>
      <c r="O9" s="4" t="n">
        <v>2033.527280232716</v>
      </c>
      <c r="P9" s="4" t="n">
        <v>2057.87642303598</v>
      </c>
      <c r="Q9" s="4" t="n">
        <v>2038.636586214921</v>
      </c>
      <c r="R9" s="4" t="n">
        <v>2067.898854828567</v>
      </c>
      <c r="S9" s="4" t="n">
        <v>2039.406363830633</v>
      </c>
      <c r="T9" s="4" t="n">
        <v>2041.419015017558</v>
      </c>
      <c r="U9" s="4" t="n">
        <v>2043.499930854079</v>
      </c>
      <c r="V9" s="4" t="n">
        <v>2038.876685343622</v>
      </c>
      <c r="W9" s="4" t="n">
        <v>2036.449430515962</v>
      </c>
      <c r="X9" s="4" t="n">
        <v>2044.031071780615</v>
      </c>
      <c r="Y9" s="4" t="n">
        <v>2040.201078909248</v>
      </c>
      <c r="Z9" s="4" t="n">
        <v>2046.736897947892</v>
      </c>
      <c r="AA9" s="4" t="n">
        <v>2035.611792368832</v>
      </c>
      <c r="AB9" s="4" t="n">
        <v>2036.665593675042</v>
      </c>
      <c r="AC9" s="4" t="n">
        <v>2057.784599238475</v>
      </c>
      <c r="AD9" s="4" t="n">
        <v>2034.316021358227</v>
      </c>
      <c r="AE9" s="4" t="n">
        <v>2034.436076291836</v>
      </c>
      <c r="AF9" s="14">
        <f>AVERAGE(B9:AE9)</f>
        <v/>
      </c>
      <c r="AG9" s="14">
        <f>STDEV(B9:AE9)</f>
        <v/>
      </c>
      <c r="AH9" s="14">
        <f>MIN(B9:AE9)</f>
        <v/>
      </c>
      <c r="AI9" s="14">
        <f>MAX(B9:AE9)</f>
        <v/>
      </c>
    </row>
    <row r="10">
      <c r="A10" s="15" t="inlineStr">
        <is>
          <t>F8 - Hybrid 3</t>
        </is>
      </c>
      <c r="B10" s="8" t="n">
        <v>2296.831823819285</v>
      </c>
      <c r="C10" s="8" t="n">
        <v>2228.653519127779</v>
      </c>
      <c r="D10" s="8" t="n">
        <v>2233.470792139764</v>
      </c>
      <c r="E10" s="8" t="n">
        <v>2261.892894165339</v>
      </c>
      <c r="F10" s="8" t="n">
        <v>2288.314701530491</v>
      </c>
      <c r="G10" s="8" t="n">
        <v>2236.602582084723</v>
      </c>
      <c r="H10" s="8" t="n">
        <v>2249.167777132918</v>
      </c>
      <c r="I10" s="8" t="n">
        <v>2246.058131939818</v>
      </c>
      <c r="J10" s="8" t="n">
        <v>2241.12311673884</v>
      </c>
      <c r="K10" s="8" t="n">
        <v>2275.996875803763</v>
      </c>
      <c r="L10" s="8" t="n">
        <v>2227.807651890201</v>
      </c>
      <c r="M10" s="8" t="n">
        <v>2244.835697988624</v>
      </c>
      <c r="N10" s="8" t="n">
        <v>2231.116579713675</v>
      </c>
      <c r="O10" s="8" t="n">
        <v>2272.957546394179</v>
      </c>
      <c r="P10" s="8" t="n">
        <v>2251.345433302181</v>
      </c>
      <c r="Q10" s="8" t="n">
        <v>2255.018507991444</v>
      </c>
      <c r="R10" s="8" t="n">
        <v>2229.395710573367</v>
      </c>
      <c r="S10" s="8" t="n">
        <v>2253.96733092631</v>
      </c>
      <c r="T10" s="8" t="n">
        <v>2271.217990800953</v>
      </c>
      <c r="U10" s="8" t="n">
        <v>2225.812189027058</v>
      </c>
      <c r="V10" s="8" t="n">
        <v>2243.066674513555</v>
      </c>
      <c r="W10" s="8" t="n">
        <v>2244.896291333282</v>
      </c>
      <c r="X10" s="8" t="n">
        <v>2229.321728516614</v>
      </c>
      <c r="Y10" s="8" t="n">
        <v>2287.297874008424</v>
      </c>
      <c r="Z10" s="8" t="n">
        <v>2253.332562254332</v>
      </c>
      <c r="AA10" s="8" t="n">
        <v>2271.081698034374</v>
      </c>
      <c r="AB10" s="8" t="n">
        <v>2234.1927025692</v>
      </c>
      <c r="AC10" s="8" t="n">
        <v>2246.029071710127</v>
      </c>
      <c r="AD10" s="8" t="n">
        <v>2227.196613641058</v>
      </c>
      <c r="AE10" s="8" t="n">
        <v>2306.559774649785</v>
      </c>
      <c r="AF10" s="14">
        <f>AVERAGE(B10:AE10)</f>
        <v/>
      </c>
      <c r="AG10" s="14">
        <f>STDEV(B10:AE10)</f>
        <v/>
      </c>
      <c r="AH10" s="14">
        <f>MIN(B10:AE10)</f>
        <v/>
      </c>
      <c r="AI10" s="14">
        <f>MAX(B10:AE10)</f>
        <v/>
      </c>
    </row>
    <row r="11">
      <c r="A11" s="13" t="inlineStr">
        <is>
          <t>F9 - Composition 1</t>
        </is>
      </c>
      <c r="B11" s="4" t="n">
        <v>2307.970323748879</v>
      </c>
      <c r="C11" s="4" t="n">
        <v>2304.658901879289</v>
      </c>
      <c r="D11" s="4" t="n">
        <v>2317.640603119663</v>
      </c>
      <c r="E11" s="4" t="n">
        <v>2666.227032619909</v>
      </c>
      <c r="F11" s="4" t="n">
        <v>2681.248087389461</v>
      </c>
      <c r="G11" s="4" t="n">
        <v>2317.522384712739</v>
      </c>
      <c r="H11" s="4" t="n">
        <v>2305.596723737396</v>
      </c>
      <c r="I11" s="4" t="n">
        <v>2688.434788686639</v>
      </c>
      <c r="J11" s="4" t="n">
        <v>2306.886053720522</v>
      </c>
      <c r="K11" s="4" t="n">
        <v>2417.51383505581</v>
      </c>
      <c r="L11" s="4" t="n">
        <v>2327.53798597369</v>
      </c>
      <c r="M11" s="4" t="n">
        <v>2307.866544177414</v>
      </c>
      <c r="N11" s="4" t="n">
        <v>2670.114908970314</v>
      </c>
      <c r="O11" s="4" t="n">
        <v>2670.123780057892</v>
      </c>
      <c r="P11" s="4" t="n">
        <v>2736.450985556699</v>
      </c>
      <c r="Q11" s="4" t="n">
        <v>2309.188338911556</v>
      </c>
      <c r="R11" s="4" t="n">
        <v>2429.808304620981</v>
      </c>
      <c r="S11" s="4" t="n">
        <v>2698.258075182658</v>
      </c>
      <c r="T11" s="4" t="n">
        <v>2669.497151731088</v>
      </c>
      <c r="U11" s="4" t="n">
        <v>2312.42045910354</v>
      </c>
      <c r="V11" s="4" t="n">
        <v>2670.457503992894</v>
      </c>
      <c r="W11" s="4" t="n">
        <v>2671.355903120289</v>
      </c>
      <c r="X11" s="4" t="n">
        <v>2319.020094397453</v>
      </c>
      <c r="Y11" s="4" t="n">
        <v>2311.416876228996</v>
      </c>
      <c r="Z11" s="4" t="n">
        <v>2666.438261448316</v>
      </c>
      <c r="AA11" s="4" t="n">
        <v>2666.968441358091</v>
      </c>
      <c r="AB11" s="4" t="n">
        <v>2313.639445728068</v>
      </c>
      <c r="AC11" s="4" t="n">
        <v>2313.542427227111</v>
      </c>
      <c r="AD11" s="4" t="n">
        <v>2309.304977702552</v>
      </c>
      <c r="AE11" s="4" t="n">
        <v>2322.73265530514</v>
      </c>
      <c r="AF11" s="14">
        <f>AVERAGE(B11:AE11)</f>
        <v/>
      </c>
      <c r="AG11" s="14">
        <f>STDEV(B11:AE11)</f>
        <v/>
      </c>
      <c r="AH11" s="14">
        <f>MIN(B11:AE11)</f>
        <v/>
      </c>
      <c r="AI11" s="14">
        <f>MAX(B11:AE11)</f>
        <v/>
      </c>
    </row>
    <row r="12">
      <c r="A12" s="15" t="inlineStr">
        <is>
          <t>F10 - Composition 2</t>
        </is>
      </c>
      <c r="B12" s="8" t="n">
        <v>2625.261347093641</v>
      </c>
      <c r="C12" s="8" t="n">
        <v>2627.86695856567</v>
      </c>
      <c r="D12" s="8" t="n">
        <v>2629.106050309121</v>
      </c>
      <c r="E12" s="8" t="n">
        <v>2623.828093835403</v>
      </c>
      <c r="F12" s="8" t="n">
        <v>2627.323990985604</v>
      </c>
      <c r="G12" s="8" t="n">
        <v>2625.455501749006</v>
      </c>
      <c r="H12" s="8" t="n">
        <v>2638.219168555771</v>
      </c>
      <c r="I12" s="8" t="n">
        <v>2629.124851830721</v>
      </c>
      <c r="J12" s="8" t="n">
        <v>2634.096194946253</v>
      </c>
      <c r="K12" s="8" t="n">
        <v>2630.378378417785</v>
      </c>
      <c r="L12" s="8" t="n">
        <v>2625.874651843029</v>
      </c>
      <c r="M12" s="8" t="n">
        <v>2629.012467165496</v>
      </c>
      <c r="N12" s="8" t="n">
        <v>2626.95166048386</v>
      </c>
      <c r="O12" s="8" t="n">
        <v>2627.082309108338</v>
      </c>
      <c r="P12" s="8" t="n">
        <v>2641.273796909476</v>
      </c>
      <c r="Q12" s="8" t="n">
        <v>2630.404205777301</v>
      </c>
      <c r="R12" s="8" t="n">
        <v>2626.783975835913</v>
      </c>
      <c r="S12" s="8" t="n">
        <v>2625.120874544958</v>
      </c>
      <c r="T12" s="8" t="n">
        <v>2622.896698373681</v>
      </c>
      <c r="U12" s="8" t="n">
        <v>2627.553658427985</v>
      </c>
      <c r="V12" s="8" t="n">
        <v>2623.775517655236</v>
      </c>
      <c r="W12" s="8" t="n">
        <v>2631.03886237554</v>
      </c>
      <c r="X12" s="8" t="n">
        <v>2627.977514314204</v>
      </c>
      <c r="Y12" s="8" t="n">
        <v>2624.661944933821</v>
      </c>
      <c r="Z12" s="8" t="n">
        <v>2628.410024301835</v>
      </c>
      <c r="AA12" s="8" t="n">
        <v>2625.350468223297</v>
      </c>
      <c r="AB12" s="8" t="n">
        <v>2631.811693382484</v>
      </c>
      <c r="AC12" s="8" t="n">
        <v>2624.112392797371</v>
      </c>
      <c r="AD12" s="8" t="n">
        <v>2623.768473925461</v>
      </c>
      <c r="AE12" s="8" t="n">
        <v>2628.464942861681</v>
      </c>
      <c r="AF12" s="14">
        <f>AVERAGE(B12:AE12)</f>
        <v/>
      </c>
      <c r="AG12" s="14">
        <f>STDEV(B12:AE12)</f>
        <v/>
      </c>
      <c r="AH12" s="14">
        <f>MIN(B12:AE12)</f>
        <v/>
      </c>
      <c r="AI12" s="14">
        <f>MAX(B12:AE12)</f>
        <v/>
      </c>
    </row>
    <row r="13">
      <c r="A13" s="13" t="inlineStr">
        <is>
          <t>F11 - Composition 3</t>
        </is>
      </c>
      <c r="B13" s="4" t="n">
        <v>2602.249321124202</v>
      </c>
      <c r="C13" s="4" t="n">
        <v>2604.445034705159</v>
      </c>
      <c r="D13" s="4" t="n">
        <v>2614.705802639155</v>
      </c>
      <c r="E13" s="4" t="n">
        <v>2601.745711885512</v>
      </c>
      <c r="F13" s="4" t="n">
        <v>2601.076751464785</v>
      </c>
      <c r="G13" s="4" t="n">
        <v>2602.037519128939</v>
      </c>
      <c r="H13" s="4" t="n">
        <v>2610.711663303381</v>
      </c>
      <c r="I13" s="4" t="n">
        <v>2602.530855609831</v>
      </c>
      <c r="J13" s="4" t="n">
        <v>2614.409032411437</v>
      </c>
      <c r="K13" s="4" t="n">
        <v>2602.726097979619</v>
      </c>
      <c r="L13" s="4" t="n">
        <v>2605.274670352124</v>
      </c>
      <c r="M13" s="4" t="n">
        <v>2602.224489814179</v>
      </c>
      <c r="N13" s="4" t="n">
        <v>2601.522804819048</v>
      </c>
      <c r="O13" s="4" t="n">
        <v>2620.493057678433</v>
      </c>
      <c r="P13" s="4" t="n">
        <v>2602.807741282392</v>
      </c>
      <c r="Q13" s="4" t="n">
        <v>2600.848361263776</v>
      </c>
      <c r="R13" s="4" t="n">
        <v>2602.912590432861</v>
      </c>
      <c r="S13" s="4" t="n">
        <v>2602.691681039007</v>
      </c>
      <c r="T13" s="4" t="n">
        <v>2602.601554978679</v>
      </c>
      <c r="U13" s="4" t="n">
        <v>2601.41774371885</v>
      </c>
      <c r="V13" s="4" t="n">
        <v>2601.522329936112</v>
      </c>
      <c r="W13" s="4" t="n">
        <v>2610.522222131265</v>
      </c>
      <c r="X13" s="4" t="n">
        <v>2601.143772229385</v>
      </c>
      <c r="Y13" s="4" t="n">
        <v>2607.493630436081</v>
      </c>
      <c r="Z13" s="4" t="n">
        <v>2602.399662273736</v>
      </c>
      <c r="AA13" s="4" t="n">
        <v>2603.039690172682</v>
      </c>
      <c r="AB13" s="4" t="n">
        <v>2601.568515796293</v>
      </c>
      <c r="AC13" s="4" t="n">
        <v>2601.534894255147</v>
      </c>
      <c r="AD13" s="4" t="n">
        <v>2612.269153797604</v>
      </c>
      <c r="AE13" s="4" t="n">
        <v>2608.525268566165</v>
      </c>
      <c r="AF13" s="14">
        <f>AVERAGE(B13:AE13)</f>
        <v/>
      </c>
      <c r="AG13" s="14">
        <f>STDEV(B13:AE13)</f>
        <v/>
      </c>
      <c r="AH13" s="14">
        <f>MIN(B13:AE13)</f>
        <v/>
      </c>
      <c r="AI13" s="14">
        <f>MAX(B13:AE13)</f>
        <v/>
      </c>
    </row>
    <row r="14">
      <c r="A14" s="15" t="inlineStr">
        <is>
          <t>F12 - Composition 4</t>
        </is>
      </c>
      <c r="B14" s="8" t="n">
        <v>2871.352385563575</v>
      </c>
      <c r="C14" s="8" t="n">
        <v>2868.37456159339</v>
      </c>
      <c r="D14" s="8" t="n">
        <v>2868.964510041559</v>
      </c>
      <c r="E14" s="8" t="n">
        <v>2869.176134408261</v>
      </c>
      <c r="F14" s="8" t="n">
        <v>2868.964627754694</v>
      </c>
      <c r="G14" s="8" t="n">
        <v>2870.860314363086</v>
      </c>
      <c r="H14" s="8" t="n">
        <v>2868.964362994341</v>
      </c>
      <c r="I14" s="8" t="n">
        <v>2871.993238753537</v>
      </c>
      <c r="J14" s="8" t="n">
        <v>2871.351894440406</v>
      </c>
      <c r="K14" s="8" t="n">
        <v>2874.749981394216</v>
      </c>
      <c r="L14" s="8" t="n">
        <v>2869.543761846663</v>
      </c>
      <c r="M14" s="8" t="n">
        <v>2871.200979536628</v>
      </c>
      <c r="N14" s="8" t="n">
        <v>2871.112981883371</v>
      </c>
      <c r="O14" s="8" t="n">
        <v>2870.860165419359</v>
      </c>
      <c r="P14" s="8" t="n">
        <v>2868.96439310131</v>
      </c>
      <c r="Q14" s="8" t="n">
        <v>2874.393673962085</v>
      </c>
      <c r="R14" s="8" t="n">
        <v>2875.966828463754</v>
      </c>
      <c r="S14" s="8" t="n">
        <v>2869.316006030082</v>
      </c>
      <c r="T14" s="8" t="n">
        <v>2871.566984494101</v>
      </c>
      <c r="U14" s="8" t="n">
        <v>2868.190419093317</v>
      </c>
      <c r="V14" s="8" t="n">
        <v>2868.618975503386</v>
      </c>
      <c r="W14" s="8" t="n">
        <v>2869.03419588253</v>
      </c>
      <c r="X14" s="8" t="n">
        <v>2869.041615160746</v>
      </c>
      <c r="Y14" s="8" t="n">
        <v>2871.351363840232</v>
      </c>
      <c r="Z14" s="8" t="n">
        <v>2771.900797700995</v>
      </c>
      <c r="AA14" s="8" t="n">
        <v>2868.370493170647</v>
      </c>
      <c r="AB14" s="8" t="n">
        <v>2868.964375814598</v>
      </c>
      <c r="AC14" s="8" t="n">
        <v>2868.972270365049</v>
      </c>
      <c r="AD14" s="8" t="n">
        <v>2871.351366582862</v>
      </c>
      <c r="AE14" s="8" t="n">
        <v>2871.30795583522</v>
      </c>
      <c r="AF14" s="14">
        <f>AVERAGE(B14:AE14)</f>
        <v/>
      </c>
      <c r="AG14" s="14">
        <f>STDEV(B14:AE14)</f>
        <v/>
      </c>
      <c r="AH14" s="14">
        <f>MIN(B14:AE14)</f>
        <v/>
      </c>
      <c r="AI14" s="14">
        <f>MAX(B14:AE14)</f>
        <v/>
      </c>
    </row>
  </sheetData>
  <mergeCells count="1">
    <mergeCell ref="A1:A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 ht="24" customHeight="1">
      <c r="A1" s="1" t="inlineStr">
        <is>
          <t>Raw Run Results — CEC 2022 (D=20) — 30 Independent Runs</t>
        </is>
      </c>
    </row>
    <row r="2" ht="20" customHeight="1">
      <c r="A2" s="2" t="inlineStr">
        <is>
          <t>Function</t>
        </is>
      </c>
      <c r="B2" s="2" t="inlineStr">
        <is>
          <t>Run 1</t>
        </is>
      </c>
      <c r="C2" s="2" t="inlineStr">
        <is>
          <t>Run 2</t>
        </is>
      </c>
      <c r="D2" s="2" t="inlineStr">
        <is>
          <t>Run 3</t>
        </is>
      </c>
      <c r="E2" s="2" t="inlineStr">
        <is>
          <t>Run 4</t>
        </is>
      </c>
      <c r="F2" s="2" t="inlineStr">
        <is>
          <t>Run 5</t>
        </is>
      </c>
      <c r="G2" s="2" t="inlineStr">
        <is>
          <t>Run 6</t>
        </is>
      </c>
      <c r="H2" s="2" t="inlineStr">
        <is>
          <t>Run 7</t>
        </is>
      </c>
      <c r="I2" s="2" t="inlineStr">
        <is>
          <t>Run 8</t>
        </is>
      </c>
      <c r="J2" s="2" t="inlineStr">
        <is>
          <t>Run 9</t>
        </is>
      </c>
      <c r="K2" s="2" t="inlineStr">
        <is>
          <t>Run 10</t>
        </is>
      </c>
      <c r="L2" s="2" t="inlineStr">
        <is>
          <t>Run 11</t>
        </is>
      </c>
      <c r="M2" s="2" t="inlineStr">
        <is>
          <t>Run 12</t>
        </is>
      </c>
      <c r="N2" s="2" t="inlineStr">
        <is>
          <t>Run 13</t>
        </is>
      </c>
      <c r="O2" s="2" t="inlineStr">
        <is>
          <t>Run 14</t>
        </is>
      </c>
      <c r="P2" s="2" t="inlineStr">
        <is>
          <t>Run 15</t>
        </is>
      </c>
      <c r="Q2" s="2" t="inlineStr">
        <is>
          <t>Run 16</t>
        </is>
      </c>
      <c r="R2" s="2" t="inlineStr">
        <is>
          <t>Run 17</t>
        </is>
      </c>
      <c r="S2" s="2" t="inlineStr">
        <is>
          <t>Run 18</t>
        </is>
      </c>
      <c r="T2" s="2" t="inlineStr">
        <is>
          <t>Run 19</t>
        </is>
      </c>
      <c r="U2" s="2" t="inlineStr">
        <is>
          <t>Run 20</t>
        </is>
      </c>
      <c r="V2" s="2" t="inlineStr">
        <is>
          <t>Run 21</t>
        </is>
      </c>
      <c r="W2" s="2" t="inlineStr">
        <is>
          <t>Run 22</t>
        </is>
      </c>
      <c r="X2" s="2" t="inlineStr">
        <is>
          <t>Run 23</t>
        </is>
      </c>
      <c r="Y2" s="2" t="inlineStr">
        <is>
          <t>Run 24</t>
        </is>
      </c>
      <c r="Z2" s="2" t="inlineStr">
        <is>
          <t>Run 25</t>
        </is>
      </c>
      <c r="AA2" s="2" t="inlineStr">
        <is>
          <t>Run 26</t>
        </is>
      </c>
      <c r="AB2" s="2" t="inlineStr">
        <is>
          <t>Run 27</t>
        </is>
      </c>
      <c r="AC2" s="2" t="inlineStr">
        <is>
          <t>Run 28</t>
        </is>
      </c>
      <c r="AD2" s="2" t="inlineStr">
        <is>
          <t>Run 29</t>
        </is>
      </c>
      <c r="AE2" s="2" t="inlineStr">
        <is>
          <t>Run 30</t>
        </is>
      </c>
      <c r="AF2" s="2" t="inlineStr">
        <is>
          <t>Mean</t>
        </is>
      </c>
      <c r="AG2" s="2" t="inlineStr">
        <is>
          <t>Std</t>
        </is>
      </c>
      <c r="AH2" s="2" t="inlineStr">
        <is>
          <t>Best</t>
        </is>
      </c>
      <c r="AI2" s="2" t="inlineStr">
        <is>
          <t>Worst</t>
        </is>
      </c>
    </row>
    <row r="3">
      <c r="A3" s="13" t="inlineStr">
        <is>
          <t>F1 - Zakharov</t>
        </is>
      </c>
      <c r="B3" s="4" t="n">
        <v/>
      </c>
      <c r="C3" s="4" t="n">
        <v/>
      </c>
      <c r="D3" s="4" t="n">
        <v/>
      </c>
      <c r="E3" s="4" t="n">
        <v/>
      </c>
      <c r="F3" s="4" t="n">
        <v/>
      </c>
      <c r="G3" s="4" t="n">
        <v/>
      </c>
      <c r="H3" s="4" t="n">
        <v/>
      </c>
      <c r="I3" s="4" t="n">
        <v/>
      </c>
      <c r="J3" s="4" t="n">
        <v/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n">
        <v/>
      </c>
      <c r="R3" s="4" t="n">
        <v/>
      </c>
      <c r="S3" s="4" t="n">
        <v/>
      </c>
      <c r="T3" s="4" t="n">
        <v/>
      </c>
      <c r="U3" s="4" t="n">
        <v/>
      </c>
      <c r="V3" s="4" t="n">
        <v/>
      </c>
      <c r="W3" s="4" t="n">
        <v/>
      </c>
      <c r="X3" s="4" t="n">
        <v/>
      </c>
      <c r="Y3" s="4" t="n">
        <v/>
      </c>
      <c r="Z3" s="4" t="n">
        <v/>
      </c>
      <c r="AA3" s="4" t="n">
        <v/>
      </c>
      <c r="AB3" s="4" t="n">
        <v/>
      </c>
      <c r="AC3" s="4" t="n">
        <v/>
      </c>
      <c r="AD3" s="4" t="n">
        <v/>
      </c>
      <c r="AE3" s="4" t="n">
        <v/>
      </c>
      <c r="AF3" s="14">
        <f>AVERAGE(B3:AE3)</f>
        <v/>
      </c>
      <c r="AG3" s="14">
        <f>STDEV(B3:AE3)</f>
        <v/>
      </c>
      <c r="AH3" s="14">
        <f>MIN(B3:AE3)</f>
        <v/>
      </c>
      <c r="AI3" s="14">
        <f>MAX(B3:AE3)</f>
        <v/>
      </c>
    </row>
    <row r="4">
      <c r="A4" s="15" t="inlineStr">
        <is>
          <t>F2 - Rosenbrock</t>
        </is>
      </c>
      <c r="B4" s="8" t="n">
        <v/>
      </c>
      <c r="C4" s="8" t="n">
        <v/>
      </c>
      <c r="D4" s="8" t="n">
        <v/>
      </c>
      <c r="E4" s="8" t="n">
        <v/>
      </c>
      <c r="F4" s="8" t="n">
        <v/>
      </c>
      <c r="G4" s="8" t="n">
        <v/>
      </c>
      <c r="H4" s="8" t="n">
        <v/>
      </c>
      <c r="I4" s="8" t="n">
        <v/>
      </c>
      <c r="J4" s="8" t="n">
        <v/>
      </c>
      <c r="K4" s="8" t="n">
        <v/>
      </c>
      <c r="L4" s="8" t="n">
        <v/>
      </c>
      <c r="M4" s="8" t="n">
        <v/>
      </c>
      <c r="N4" s="8" t="n">
        <v/>
      </c>
      <c r="O4" s="8" t="n">
        <v/>
      </c>
      <c r="P4" s="8" t="n">
        <v/>
      </c>
      <c r="Q4" s="8" t="n">
        <v/>
      </c>
      <c r="R4" s="8" t="n">
        <v/>
      </c>
      <c r="S4" s="8" t="n">
        <v/>
      </c>
      <c r="T4" s="8" t="n">
        <v/>
      </c>
      <c r="U4" s="8" t="n">
        <v/>
      </c>
      <c r="V4" s="8" t="n">
        <v/>
      </c>
      <c r="W4" s="8" t="n">
        <v/>
      </c>
      <c r="X4" s="8" t="n">
        <v/>
      </c>
      <c r="Y4" s="8" t="n">
        <v/>
      </c>
      <c r="Z4" s="8" t="n">
        <v/>
      </c>
      <c r="AA4" s="8" t="n">
        <v/>
      </c>
      <c r="AB4" s="8" t="n">
        <v/>
      </c>
      <c r="AC4" s="8" t="n">
        <v/>
      </c>
      <c r="AD4" s="8" t="n">
        <v/>
      </c>
      <c r="AE4" s="8" t="n">
        <v/>
      </c>
      <c r="AF4" s="14">
        <f>AVERAGE(B4:AE4)</f>
        <v/>
      </c>
      <c r="AG4" s="14">
        <f>STDEV(B4:AE4)</f>
        <v/>
      </c>
      <c r="AH4" s="14">
        <f>MIN(B4:AE4)</f>
        <v/>
      </c>
      <c r="AI4" s="14">
        <f>MAX(B4:AE4)</f>
        <v/>
      </c>
    </row>
    <row r="5">
      <c r="A5" s="13" t="inlineStr">
        <is>
          <t>F3 - Schaffer f6</t>
        </is>
      </c>
      <c r="B5" s="4" t="n">
        <v/>
      </c>
      <c r="C5" s="4" t="n">
        <v/>
      </c>
      <c r="D5" s="4" t="n">
        <v/>
      </c>
      <c r="E5" s="4" t="n">
        <v/>
      </c>
      <c r="F5" s="4" t="n">
        <v/>
      </c>
      <c r="G5" s="4" t="n">
        <v/>
      </c>
      <c r="H5" s="4" t="n">
        <v/>
      </c>
      <c r="I5" s="4" t="n">
        <v/>
      </c>
      <c r="J5" s="4" t="n">
        <v/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n">
        <v/>
      </c>
      <c r="R5" s="4" t="n">
        <v/>
      </c>
      <c r="S5" s="4" t="n">
        <v/>
      </c>
      <c r="T5" s="4" t="n">
        <v/>
      </c>
      <c r="U5" s="4" t="n">
        <v/>
      </c>
      <c r="V5" s="4" t="n">
        <v/>
      </c>
      <c r="W5" s="4" t="n">
        <v/>
      </c>
      <c r="X5" s="4" t="n">
        <v/>
      </c>
      <c r="Y5" s="4" t="n">
        <v/>
      </c>
      <c r="Z5" s="4" t="n">
        <v/>
      </c>
      <c r="AA5" s="4" t="n">
        <v/>
      </c>
      <c r="AB5" s="4" t="n">
        <v/>
      </c>
      <c r="AC5" s="4" t="n">
        <v/>
      </c>
      <c r="AD5" s="4" t="n">
        <v/>
      </c>
      <c r="AE5" s="4" t="n">
        <v/>
      </c>
      <c r="AF5" s="14">
        <f>AVERAGE(B5:AE5)</f>
        <v/>
      </c>
      <c r="AG5" s="14">
        <f>STDEV(B5:AE5)</f>
        <v/>
      </c>
      <c r="AH5" s="14">
        <f>MIN(B5:AE5)</f>
        <v/>
      </c>
      <c r="AI5" s="14">
        <f>MAX(B5:AE5)</f>
        <v/>
      </c>
    </row>
    <row r="6">
      <c r="A6" s="15" t="inlineStr">
        <is>
          <t>F4 - Rastrigin</t>
        </is>
      </c>
      <c r="B6" s="8" t="n">
        <v/>
      </c>
      <c r="C6" s="8" t="n">
        <v/>
      </c>
      <c r="D6" s="8" t="n">
        <v/>
      </c>
      <c r="E6" s="8" t="n">
        <v/>
      </c>
      <c r="F6" s="8" t="n">
        <v/>
      </c>
      <c r="G6" s="8" t="n">
        <v/>
      </c>
      <c r="H6" s="8" t="n">
        <v/>
      </c>
      <c r="I6" s="8" t="n">
        <v/>
      </c>
      <c r="J6" s="8" t="n">
        <v/>
      </c>
      <c r="K6" s="8" t="n">
        <v/>
      </c>
      <c r="L6" s="8" t="n">
        <v/>
      </c>
      <c r="M6" s="8" t="n">
        <v/>
      </c>
      <c r="N6" s="8" t="n">
        <v/>
      </c>
      <c r="O6" s="8" t="n">
        <v/>
      </c>
      <c r="P6" s="8" t="n">
        <v/>
      </c>
      <c r="Q6" s="8" t="n">
        <v/>
      </c>
      <c r="R6" s="8" t="n">
        <v/>
      </c>
      <c r="S6" s="8" t="n">
        <v/>
      </c>
      <c r="T6" s="8" t="n">
        <v/>
      </c>
      <c r="U6" s="8" t="n">
        <v/>
      </c>
      <c r="V6" s="8" t="n">
        <v/>
      </c>
      <c r="W6" s="8" t="n">
        <v/>
      </c>
      <c r="X6" s="8" t="n">
        <v/>
      </c>
      <c r="Y6" s="8" t="n">
        <v/>
      </c>
      <c r="Z6" s="8" t="n">
        <v/>
      </c>
      <c r="AA6" s="8" t="n">
        <v/>
      </c>
      <c r="AB6" s="8" t="n">
        <v/>
      </c>
      <c r="AC6" s="8" t="n">
        <v/>
      </c>
      <c r="AD6" s="8" t="n">
        <v/>
      </c>
      <c r="AE6" s="8" t="n">
        <v/>
      </c>
      <c r="AF6" s="14">
        <f>AVERAGE(B6:AE6)</f>
        <v/>
      </c>
      <c r="AG6" s="14">
        <f>STDEV(B6:AE6)</f>
        <v/>
      </c>
      <c r="AH6" s="14">
        <f>MIN(B6:AE6)</f>
        <v/>
      </c>
      <c r="AI6" s="14">
        <f>MAX(B6:AE6)</f>
        <v/>
      </c>
    </row>
    <row r="7">
      <c r="A7" s="13" t="inlineStr">
        <is>
          <t>F5 - Levy</t>
        </is>
      </c>
      <c r="B7" s="4" t="n">
        <v/>
      </c>
      <c r="C7" s="4" t="n">
        <v/>
      </c>
      <c r="D7" s="4" t="n">
        <v/>
      </c>
      <c r="E7" s="4" t="n">
        <v/>
      </c>
      <c r="F7" s="4" t="n">
        <v/>
      </c>
      <c r="G7" s="4" t="n">
        <v/>
      </c>
      <c r="H7" s="4" t="n">
        <v/>
      </c>
      <c r="I7" s="4" t="n">
        <v/>
      </c>
      <c r="J7" s="4" t="n">
        <v/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n">
        <v/>
      </c>
      <c r="R7" s="4" t="n">
        <v/>
      </c>
      <c r="S7" s="4" t="n">
        <v/>
      </c>
      <c r="T7" s="4" t="n">
        <v/>
      </c>
      <c r="U7" s="4" t="n">
        <v/>
      </c>
      <c r="V7" s="4" t="n">
        <v/>
      </c>
      <c r="W7" s="4" t="n">
        <v/>
      </c>
      <c r="X7" s="4" t="n">
        <v/>
      </c>
      <c r="Y7" s="4" t="n">
        <v/>
      </c>
      <c r="Z7" s="4" t="n">
        <v/>
      </c>
      <c r="AA7" s="4" t="n">
        <v/>
      </c>
      <c r="AB7" s="4" t="n">
        <v/>
      </c>
      <c r="AC7" s="4" t="n">
        <v/>
      </c>
      <c r="AD7" s="4" t="n">
        <v/>
      </c>
      <c r="AE7" s="4" t="n">
        <v/>
      </c>
      <c r="AF7" s="14">
        <f>AVERAGE(B7:AE7)</f>
        <v/>
      </c>
      <c r="AG7" s="14">
        <f>STDEV(B7:AE7)</f>
        <v/>
      </c>
      <c r="AH7" s="14">
        <f>MIN(B7:AE7)</f>
        <v/>
      </c>
      <c r="AI7" s="14">
        <f>MAX(B7:AE7)</f>
        <v/>
      </c>
    </row>
    <row r="8">
      <c r="A8" s="15" t="inlineStr">
        <is>
          <t>F6 - Hybrid 1</t>
        </is>
      </c>
      <c r="B8" s="8" t="n">
        <v/>
      </c>
      <c r="C8" s="8" t="n">
        <v/>
      </c>
      <c r="D8" s="8" t="n">
        <v/>
      </c>
      <c r="E8" s="8" t="n">
        <v/>
      </c>
      <c r="F8" s="8" t="n">
        <v/>
      </c>
      <c r="G8" s="8" t="n">
        <v/>
      </c>
      <c r="H8" s="8" t="n">
        <v/>
      </c>
      <c r="I8" s="8" t="n">
        <v/>
      </c>
      <c r="J8" s="8" t="n">
        <v/>
      </c>
      <c r="K8" s="8" t="n">
        <v/>
      </c>
      <c r="L8" s="8" t="n">
        <v/>
      </c>
      <c r="M8" s="8" t="n">
        <v/>
      </c>
      <c r="N8" s="8" t="n">
        <v/>
      </c>
      <c r="O8" s="8" t="n">
        <v/>
      </c>
      <c r="P8" s="8" t="n">
        <v/>
      </c>
      <c r="Q8" s="8" t="n">
        <v/>
      </c>
      <c r="R8" s="8" t="n">
        <v/>
      </c>
      <c r="S8" s="8" t="n">
        <v/>
      </c>
      <c r="T8" s="8" t="n">
        <v/>
      </c>
      <c r="U8" s="8" t="n">
        <v/>
      </c>
      <c r="V8" s="8" t="n">
        <v/>
      </c>
      <c r="W8" s="8" t="n">
        <v/>
      </c>
      <c r="X8" s="8" t="n">
        <v/>
      </c>
      <c r="Y8" s="8" t="n">
        <v/>
      </c>
      <c r="Z8" s="8" t="n">
        <v/>
      </c>
      <c r="AA8" s="8" t="n">
        <v/>
      </c>
      <c r="AB8" s="8" t="n">
        <v/>
      </c>
      <c r="AC8" s="8" t="n">
        <v/>
      </c>
      <c r="AD8" s="8" t="n">
        <v/>
      </c>
      <c r="AE8" s="8" t="n">
        <v/>
      </c>
      <c r="AF8" s="14">
        <f>AVERAGE(B8:AE8)</f>
        <v/>
      </c>
      <c r="AG8" s="14">
        <f>STDEV(B8:AE8)</f>
        <v/>
      </c>
      <c r="AH8" s="14">
        <f>MIN(B8:AE8)</f>
        <v/>
      </c>
      <c r="AI8" s="14">
        <f>MAX(B8:AE8)</f>
        <v/>
      </c>
    </row>
    <row r="9">
      <c r="A9" s="13" t="inlineStr">
        <is>
          <t>F7 - Hybrid 2</t>
        </is>
      </c>
      <c r="B9" s="4" t="n">
        <v/>
      </c>
      <c r="C9" s="4" t="n">
        <v/>
      </c>
      <c r="D9" s="4" t="n">
        <v/>
      </c>
      <c r="E9" s="4" t="n">
        <v/>
      </c>
      <c r="F9" s="4" t="n">
        <v/>
      </c>
      <c r="G9" s="4" t="n">
        <v/>
      </c>
      <c r="H9" s="4" t="n">
        <v/>
      </c>
      <c r="I9" s="4" t="n">
        <v/>
      </c>
      <c r="J9" s="4" t="n">
        <v/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n">
        <v/>
      </c>
      <c r="R9" s="4" t="n">
        <v/>
      </c>
      <c r="S9" s="4" t="n">
        <v/>
      </c>
      <c r="T9" s="4" t="n">
        <v/>
      </c>
      <c r="U9" s="4" t="n">
        <v/>
      </c>
      <c r="V9" s="4" t="n">
        <v/>
      </c>
      <c r="W9" s="4" t="n">
        <v/>
      </c>
      <c r="X9" s="4" t="n">
        <v/>
      </c>
      <c r="Y9" s="4" t="n">
        <v/>
      </c>
      <c r="Z9" s="4" t="n">
        <v/>
      </c>
      <c r="AA9" s="4" t="n">
        <v/>
      </c>
      <c r="AB9" s="4" t="n">
        <v/>
      </c>
      <c r="AC9" s="4" t="n">
        <v/>
      </c>
      <c r="AD9" s="4" t="n">
        <v/>
      </c>
      <c r="AE9" s="4" t="n">
        <v/>
      </c>
      <c r="AF9" s="14">
        <f>AVERAGE(B9:AE9)</f>
        <v/>
      </c>
      <c r="AG9" s="14">
        <f>STDEV(B9:AE9)</f>
        <v/>
      </c>
      <c r="AH9" s="14">
        <f>MIN(B9:AE9)</f>
        <v/>
      </c>
      <c r="AI9" s="14">
        <f>MAX(B9:AE9)</f>
        <v/>
      </c>
    </row>
    <row r="10">
      <c r="A10" s="15" t="inlineStr">
        <is>
          <t>F8 - Hybrid 3</t>
        </is>
      </c>
      <c r="B10" s="8" t="n">
        <v/>
      </c>
      <c r="C10" s="8" t="n">
        <v/>
      </c>
      <c r="D10" s="8" t="n">
        <v/>
      </c>
      <c r="E10" s="8" t="n">
        <v/>
      </c>
      <c r="F10" s="8" t="n">
        <v/>
      </c>
      <c r="G10" s="8" t="n">
        <v/>
      </c>
      <c r="H10" s="8" t="n">
        <v/>
      </c>
      <c r="I10" s="8" t="n">
        <v/>
      </c>
      <c r="J10" s="8" t="n">
        <v/>
      </c>
      <c r="K10" s="8" t="n">
        <v/>
      </c>
      <c r="L10" s="8" t="n">
        <v/>
      </c>
      <c r="M10" s="8" t="n">
        <v/>
      </c>
      <c r="N10" s="8" t="n">
        <v/>
      </c>
      <c r="O10" s="8" t="n">
        <v/>
      </c>
      <c r="P10" s="8" t="n">
        <v/>
      </c>
      <c r="Q10" s="8" t="n">
        <v/>
      </c>
      <c r="R10" s="8" t="n">
        <v/>
      </c>
      <c r="S10" s="8" t="n">
        <v/>
      </c>
      <c r="T10" s="8" t="n">
        <v/>
      </c>
      <c r="U10" s="8" t="n">
        <v/>
      </c>
      <c r="V10" s="8" t="n">
        <v/>
      </c>
      <c r="W10" s="8" t="n">
        <v/>
      </c>
      <c r="X10" s="8" t="n">
        <v/>
      </c>
      <c r="Y10" s="8" t="n">
        <v/>
      </c>
      <c r="Z10" s="8" t="n">
        <v/>
      </c>
      <c r="AA10" s="8" t="n">
        <v/>
      </c>
      <c r="AB10" s="8" t="n">
        <v/>
      </c>
      <c r="AC10" s="8" t="n">
        <v/>
      </c>
      <c r="AD10" s="8" t="n">
        <v/>
      </c>
      <c r="AE10" s="8" t="n">
        <v/>
      </c>
      <c r="AF10" s="14">
        <f>AVERAGE(B10:AE10)</f>
        <v/>
      </c>
      <c r="AG10" s="14">
        <f>STDEV(B10:AE10)</f>
        <v/>
      </c>
      <c r="AH10" s="14">
        <f>MIN(B10:AE10)</f>
        <v/>
      </c>
      <c r="AI10" s="14">
        <f>MAX(B10:AE10)</f>
        <v/>
      </c>
    </row>
    <row r="11">
      <c r="A11" s="13" t="inlineStr">
        <is>
          <t>F9 - Composition 1</t>
        </is>
      </c>
      <c r="B11" s="4" t="n">
        <v/>
      </c>
      <c r="C11" s="4" t="n">
        <v/>
      </c>
      <c r="D11" s="4" t="n">
        <v/>
      </c>
      <c r="E11" s="4" t="n">
        <v/>
      </c>
      <c r="F11" s="4" t="n">
        <v/>
      </c>
      <c r="G11" s="4" t="n">
        <v/>
      </c>
      <c r="H11" s="4" t="n">
        <v/>
      </c>
      <c r="I11" s="4" t="n">
        <v/>
      </c>
      <c r="J11" s="4" t="n">
        <v/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n">
        <v/>
      </c>
      <c r="R11" s="4" t="n">
        <v/>
      </c>
      <c r="S11" s="4" t="n">
        <v/>
      </c>
      <c r="T11" s="4" t="n">
        <v/>
      </c>
      <c r="U11" s="4" t="n">
        <v/>
      </c>
      <c r="V11" s="4" t="n">
        <v/>
      </c>
      <c r="W11" s="4" t="n">
        <v/>
      </c>
      <c r="X11" s="4" t="n">
        <v/>
      </c>
      <c r="Y11" s="4" t="n">
        <v/>
      </c>
      <c r="Z11" s="4" t="n">
        <v/>
      </c>
      <c r="AA11" s="4" t="n">
        <v/>
      </c>
      <c r="AB11" s="4" t="n">
        <v/>
      </c>
      <c r="AC11" s="4" t="n">
        <v/>
      </c>
      <c r="AD11" s="4" t="n">
        <v/>
      </c>
      <c r="AE11" s="4" t="n">
        <v/>
      </c>
      <c r="AF11" s="14">
        <f>AVERAGE(B11:AE11)</f>
        <v/>
      </c>
      <c r="AG11" s="14">
        <f>STDEV(B11:AE11)</f>
        <v/>
      </c>
      <c r="AH11" s="14">
        <f>MIN(B11:AE11)</f>
        <v/>
      </c>
      <c r="AI11" s="14">
        <f>MAX(B11:AE11)</f>
        <v/>
      </c>
    </row>
    <row r="12">
      <c r="A12" s="15" t="inlineStr">
        <is>
          <t>F10 - Composition 2</t>
        </is>
      </c>
      <c r="B12" s="8" t="n">
        <v/>
      </c>
      <c r="C12" s="8" t="n">
        <v/>
      </c>
      <c r="D12" s="8" t="n">
        <v/>
      </c>
      <c r="E12" s="8" t="n">
        <v/>
      </c>
      <c r="F12" s="8" t="n">
        <v/>
      </c>
      <c r="G12" s="8" t="n">
        <v/>
      </c>
      <c r="H12" s="8" t="n">
        <v/>
      </c>
      <c r="I12" s="8" t="n">
        <v/>
      </c>
      <c r="J12" s="8" t="n">
        <v/>
      </c>
      <c r="K12" s="8" t="n">
        <v/>
      </c>
      <c r="L12" s="8" t="n">
        <v/>
      </c>
      <c r="M12" s="8" t="n">
        <v/>
      </c>
      <c r="N12" s="8" t="n">
        <v/>
      </c>
      <c r="O12" s="8" t="n">
        <v/>
      </c>
      <c r="P12" s="8" t="n">
        <v/>
      </c>
      <c r="Q12" s="8" t="n">
        <v/>
      </c>
      <c r="R12" s="8" t="n">
        <v/>
      </c>
      <c r="S12" s="8" t="n">
        <v/>
      </c>
      <c r="T12" s="8" t="n">
        <v/>
      </c>
      <c r="U12" s="8" t="n">
        <v/>
      </c>
      <c r="V12" s="8" t="n">
        <v/>
      </c>
      <c r="W12" s="8" t="n">
        <v/>
      </c>
      <c r="X12" s="8" t="n">
        <v/>
      </c>
      <c r="Y12" s="8" t="n">
        <v/>
      </c>
      <c r="Z12" s="8" t="n">
        <v/>
      </c>
      <c r="AA12" s="8" t="n">
        <v/>
      </c>
      <c r="AB12" s="8" t="n">
        <v/>
      </c>
      <c r="AC12" s="8" t="n">
        <v/>
      </c>
      <c r="AD12" s="8" t="n">
        <v/>
      </c>
      <c r="AE12" s="8" t="n">
        <v/>
      </c>
      <c r="AF12" s="14">
        <f>AVERAGE(B12:AE12)</f>
        <v/>
      </c>
      <c r="AG12" s="14">
        <f>STDEV(B12:AE12)</f>
        <v/>
      </c>
      <c r="AH12" s="14">
        <f>MIN(B12:AE12)</f>
        <v/>
      </c>
      <c r="AI12" s="14">
        <f>MAX(B12:AE12)</f>
        <v/>
      </c>
    </row>
    <row r="13">
      <c r="A13" s="13" t="inlineStr">
        <is>
          <t>F11 - Composition 3</t>
        </is>
      </c>
      <c r="B13" s="4" t="n">
        <v/>
      </c>
      <c r="C13" s="4" t="n">
        <v/>
      </c>
      <c r="D13" s="4" t="n">
        <v/>
      </c>
      <c r="E13" s="4" t="n">
        <v/>
      </c>
      <c r="F13" s="4" t="n">
        <v/>
      </c>
      <c r="G13" s="4" t="n">
        <v/>
      </c>
      <c r="H13" s="4" t="n">
        <v/>
      </c>
      <c r="I13" s="4" t="n">
        <v/>
      </c>
      <c r="J13" s="4" t="n">
        <v/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n">
        <v/>
      </c>
      <c r="R13" s="4" t="n">
        <v/>
      </c>
      <c r="S13" s="4" t="n">
        <v/>
      </c>
      <c r="T13" s="4" t="n">
        <v/>
      </c>
      <c r="U13" s="4" t="n">
        <v/>
      </c>
      <c r="V13" s="4" t="n">
        <v/>
      </c>
      <c r="W13" s="4" t="n">
        <v/>
      </c>
      <c r="X13" s="4" t="n">
        <v/>
      </c>
      <c r="Y13" s="4" t="n">
        <v/>
      </c>
      <c r="Z13" s="4" t="n">
        <v/>
      </c>
      <c r="AA13" s="4" t="n">
        <v/>
      </c>
      <c r="AB13" s="4" t="n">
        <v/>
      </c>
      <c r="AC13" s="4" t="n">
        <v/>
      </c>
      <c r="AD13" s="4" t="n">
        <v/>
      </c>
      <c r="AE13" s="4" t="n">
        <v/>
      </c>
      <c r="AF13" s="14">
        <f>AVERAGE(B13:AE13)</f>
        <v/>
      </c>
      <c r="AG13" s="14">
        <f>STDEV(B13:AE13)</f>
        <v/>
      </c>
      <c r="AH13" s="14">
        <f>MIN(B13:AE13)</f>
        <v/>
      </c>
      <c r="AI13" s="14">
        <f>MAX(B13:AE13)</f>
        <v/>
      </c>
    </row>
    <row r="14">
      <c r="A14" s="15" t="inlineStr">
        <is>
          <t>F12 - Composition 4</t>
        </is>
      </c>
      <c r="B14" s="8" t="n">
        <v/>
      </c>
      <c r="C14" s="8" t="n">
        <v/>
      </c>
      <c r="D14" s="8" t="n">
        <v/>
      </c>
      <c r="E14" s="8" t="n">
        <v/>
      </c>
      <c r="F14" s="8" t="n">
        <v/>
      </c>
      <c r="G14" s="8" t="n">
        <v/>
      </c>
      <c r="H14" s="8" t="n">
        <v/>
      </c>
      <c r="I14" s="8" t="n">
        <v/>
      </c>
      <c r="J14" s="8" t="n">
        <v/>
      </c>
      <c r="K14" s="8" t="n">
        <v/>
      </c>
      <c r="L14" s="8" t="n">
        <v/>
      </c>
      <c r="M14" s="8" t="n">
        <v/>
      </c>
      <c r="N14" s="8" t="n">
        <v/>
      </c>
      <c r="O14" s="8" t="n">
        <v/>
      </c>
      <c r="P14" s="8" t="n">
        <v/>
      </c>
      <c r="Q14" s="8" t="n">
        <v/>
      </c>
      <c r="R14" s="8" t="n">
        <v/>
      </c>
      <c r="S14" s="8" t="n">
        <v/>
      </c>
      <c r="T14" s="8" t="n">
        <v/>
      </c>
      <c r="U14" s="8" t="n">
        <v/>
      </c>
      <c r="V14" s="8" t="n">
        <v/>
      </c>
      <c r="W14" s="8" t="n">
        <v/>
      </c>
      <c r="X14" s="8" t="n">
        <v/>
      </c>
      <c r="Y14" s="8" t="n">
        <v/>
      </c>
      <c r="Z14" s="8" t="n">
        <v/>
      </c>
      <c r="AA14" s="8" t="n">
        <v/>
      </c>
      <c r="AB14" s="8" t="n">
        <v/>
      </c>
      <c r="AC14" s="8" t="n">
        <v/>
      </c>
      <c r="AD14" s="8" t="n">
        <v/>
      </c>
      <c r="AE14" s="8" t="n">
        <v/>
      </c>
      <c r="AF14" s="14">
        <f>AVERAGE(B14:AE14)</f>
        <v/>
      </c>
      <c r="AG14" s="14">
        <f>STDEV(B14:AE14)</f>
        <v/>
      </c>
      <c r="AH14" s="14">
        <f>MIN(B14:AE14)</f>
        <v/>
      </c>
      <c r="AI14" s="14">
        <f>MAX(B14:AE14)</f>
        <v/>
      </c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2026-03-09T12:06:14Z</dcterms:created>
  <dcterms:modified xsi:type="dcterms:W3CDTF">2026-03-09T12:06:15Z</dcterms:modified>
</cp:coreProperties>
</file>