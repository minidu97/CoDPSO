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=10 Comparison" sheetId="1" state="visible" r:id="rId1"/>
    <sheet name="D=20 Comparison" sheetId="2" state="visible" r:id="rId2"/>
    <sheet name="Raw Data D=10" sheetId="3" state="visible" r:id="rId3"/>
    <sheet name="Raw Data D=2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2F4F8F"/>
        <bgColor rgb="002F4F8F"/>
      </patternFill>
    </fill>
    <fill>
      <patternFill patternType="solid">
        <fgColor rgb="004F81BD"/>
        <bgColor rgb="004F81BD"/>
      </patternFill>
    </fill>
    <fill>
      <patternFill patternType="solid">
        <fgColor rgb="00DCE6F1"/>
        <bgColor rgb="00DCE6F1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1" fontId="2" fillId="4" borderId="1" applyAlignment="1" pivotButton="0" quotePrefix="0" xfId="0">
      <alignment horizontal="center" vertical="center"/>
    </xf>
    <xf numFmtId="11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1" fontId="2" fillId="6" borderId="1" applyAlignment="1" pivotButton="0" quotePrefix="0" xfId="0">
      <alignment horizontal="center" vertical="center"/>
    </xf>
    <xf numFmtId="11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1" fontId="3" fillId="8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8" customWidth="1" min="11" max="11"/>
  </cols>
  <sheetData>
    <row r="1" ht="28" customHeight="1">
      <c r="A1" s="1" t="inlineStr">
        <is>
          <t>CoDPSO Results Comparison — CEC 2022 (D=10)</t>
        </is>
      </c>
    </row>
    <row r="2" ht="22" customHeight="1">
      <c r="A2" s="2" t="inlineStr">
        <is>
          <t>Function</t>
        </is>
      </c>
      <c r="B2" s="2" t="inlineStr">
        <is>
          <t>Paper Mean</t>
        </is>
      </c>
      <c r="C2" s="2" t="inlineStr">
        <is>
          <t>Paper Std</t>
        </is>
      </c>
      <c r="D2" s="2" t="inlineStr">
        <is>
          <t>My Mean</t>
        </is>
      </c>
      <c r="E2" s="2" t="inlineStr">
        <is>
          <t>My Std</t>
        </is>
      </c>
      <c r="F2" s="2" t="inlineStr">
        <is>
          <t>My Best</t>
        </is>
      </c>
      <c r="G2" s="2" t="inlineStr">
        <is>
          <t>My Worst</t>
        </is>
      </c>
      <c r="H2" s="2" t="inlineStr">
        <is>
          <t>Diff (Mean)</t>
        </is>
      </c>
      <c r="I2" s="2" t="inlineStr">
        <is>
          <t>Diff (Std)</t>
        </is>
      </c>
      <c r="J2" s="2" t="inlineStr">
        <is>
          <t>Mean Better?</t>
        </is>
      </c>
      <c r="K2" s="2" t="inlineStr">
        <is>
          <t>Notes</t>
        </is>
      </c>
    </row>
    <row r="3">
      <c r="A3" s="3" t="inlineStr">
        <is>
          <t>F1 - Zakharov</t>
        </is>
      </c>
      <c r="B3" s="4" t="n">
        <v>300</v>
      </c>
      <c r="C3" s="4" t="n">
        <v>0</v>
      </c>
      <c r="D3" s="4" t="n">
        <v>361.5255277923499</v>
      </c>
      <c r="E3" s="4" t="n">
        <v>41.6609673843808</v>
      </c>
      <c r="F3" s="4" t="n">
        <v>303.4071813107659</v>
      </c>
      <c r="G3" s="4" t="n">
        <v>465.4884479344549</v>
      </c>
      <c r="H3" s="5" t="n">
        <v>61.52552779234986</v>
      </c>
      <c r="I3" s="4" t="n">
        <v>41.6609673843808</v>
      </c>
      <c r="J3" s="6" t="inlineStr">
        <is>
          <t>❌ Worse</t>
        </is>
      </c>
      <c r="K3" s="3" t="inlineStr"/>
    </row>
    <row r="4">
      <c r="A4" s="7" t="inlineStr">
        <is>
          <t>F2 - Rosenbrock</t>
        </is>
      </c>
      <c r="B4" s="8" t="n">
        <v>400.78</v>
      </c>
      <c r="C4" s="8" t="n">
        <v>1.95</v>
      </c>
      <c r="D4" s="8" t="n">
        <v>407.1635731501261</v>
      </c>
      <c r="E4" s="8" t="n">
        <v>4.479138863721167</v>
      </c>
      <c r="F4" s="8" t="n">
        <v>400.8240422783372</v>
      </c>
      <c r="G4" s="8" t="n">
        <v>423.0206071114724</v>
      </c>
      <c r="H4" s="5" t="n">
        <v>6.383573150126097</v>
      </c>
      <c r="I4" s="8" t="n">
        <v>2.529138863721167</v>
      </c>
      <c r="J4" s="6" t="inlineStr">
        <is>
          <t>❌ Worse</t>
        </is>
      </c>
      <c r="K4" s="7" t="inlineStr"/>
    </row>
    <row r="5">
      <c r="A5" s="3" t="inlineStr">
        <is>
          <t>F3 - Schaffer f6</t>
        </is>
      </c>
      <c r="B5" s="4" t="n">
        <v>600</v>
      </c>
      <c r="C5" s="4" t="n">
        <v>0.00898</v>
      </c>
      <c r="D5" s="4" t="n">
        <v>600.0005327860814</v>
      </c>
      <c r="E5" s="4" t="n">
        <v>0.0003526088408974042</v>
      </c>
      <c r="F5" s="4" t="n">
        <v>600.0000992154812</v>
      </c>
      <c r="G5" s="4" t="n">
        <v>600.0014778646824</v>
      </c>
      <c r="H5" s="5" t="n">
        <v>0.0005327860814077212</v>
      </c>
      <c r="I5" s="4" t="n">
        <v>-0.008627391159102596</v>
      </c>
      <c r="J5" s="6" t="inlineStr">
        <is>
          <t>❌ Worse</t>
        </is>
      </c>
      <c r="K5" s="3" t="inlineStr"/>
    </row>
    <row r="6">
      <c r="A6" s="7" t="inlineStr">
        <is>
          <t>F4 - Rastrigin</t>
        </is>
      </c>
      <c r="B6" s="8" t="n">
        <v>806.83</v>
      </c>
      <c r="C6" s="8" t="n">
        <v>2.67</v>
      </c>
      <c r="D6" s="8" t="n">
        <v>829.8408631219298</v>
      </c>
      <c r="E6" s="8" t="n">
        <v>8.673879352661286</v>
      </c>
      <c r="F6" s="8" t="n">
        <v>814.576713536744</v>
      </c>
      <c r="G6" s="8" t="n">
        <v>844.0002146522356</v>
      </c>
      <c r="H6" s="5" t="n">
        <v>23.01086312192979</v>
      </c>
      <c r="I6" s="8" t="n">
        <v>6.003879352661286</v>
      </c>
      <c r="J6" s="6" t="inlineStr">
        <is>
          <t>❌ Worse</t>
        </is>
      </c>
      <c r="K6" s="7" t="inlineStr"/>
    </row>
    <row r="7">
      <c r="A7" s="3" t="inlineStr">
        <is>
          <t>F5 - Levy</t>
        </is>
      </c>
      <c r="B7" s="4" t="n">
        <v>900.01</v>
      </c>
      <c r="C7" s="4" t="n">
        <v>0.0413</v>
      </c>
      <c r="D7" s="4" t="n">
        <v>900.2419161681593</v>
      </c>
      <c r="E7" s="4" t="n">
        <v>0.2117464303597375</v>
      </c>
      <c r="F7" s="4" t="n">
        <v>900.0095341146111</v>
      </c>
      <c r="G7" s="4" t="n">
        <v>900.916660203855</v>
      </c>
      <c r="H7" s="5" t="n">
        <v>0.2319161681592732</v>
      </c>
      <c r="I7" s="4" t="n">
        <v>0.1704464303597375</v>
      </c>
      <c r="J7" s="6" t="inlineStr">
        <is>
          <t>❌ Worse</t>
        </is>
      </c>
      <c r="K7" s="3" t="inlineStr"/>
    </row>
    <row r="8">
      <c r="A8" s="7" t="inlineStr">
        <is>
          <t>F6 - Hybrid 1</t>
        </is>
      </c>
      <c r="B8" s="8" t="n">
        <v>1871.86</v>
      </c>
      <c r="C8" s="8" t="n">
        <v>59.1</v>
      </c>
      <c r="D8" s="8" t="n">
        <v>15945.8256141365</v>
      </c>
      <c r="E8" s="8" t="n">
        <v>6211.920411766658</v>
      </c>
      <c r="F8" s="8" t="n">
        <v>5433.228342735481</v>
      </c>
      <c r="G8" s="8" t="n">
        <v>29511.92460572807</v>
      </c>
      <c r="H8" s="5" t="n">
        <v>14073.9656141365</v>
      </c>
      <c r="I8" s="8" t="n">
        <v>6152.820411766657</v>
      </c>
      <c r="J8" s="6" t="inlineStr">
        <is>
          <t>❌ Worse</t>
        </is>
      </c>
      <c r="K8" s="7" t="inlineStr"/>
    </row>
    <row r="9">
      <c r="A9" s="3" t="inlineStr">
        <is>
          <t>F7 - Hybrid 2</t>
        </is>
      </c>
      <c r="B9" s="4" t="n">
        <v>2009.35</v>
      </c>
      <c r="C9" s="4" t="n">
        <v>9.66</v>
      </c>
      <c r="D9" s="4" t="n">
        <v>2040.625400263491</v>
      </c>
      <c r="E9" s="4" t="n">
        <v>8.028467366967361</v>
      </c>
      <c r="F9" s="4" t="n">
        <v>2026.055861615045</v>
      </c>
      <c r="G9" s="4" t="n">
        <v>2055.263419620967</v>
      </c>
      <c r="H9" s="5" t="n">
        <v>31.27540026349129</v>
      </c>
      <c r="I9" s="4" t="n">
        <v>-1.63153263303264</v>
      </c>
      <c r="J9" s="6" t="inlineStr">
        <is>
          <t>❌ Worse</t>
        </is>
      </c>
      <c r="K9" s="3" t="inlineStr"/>
    </row>
    <row r="10">
      <c r="A10" s="7" t="inlineStr">
        <is>
          <t>F8 - Hybrid 3</t>
        </is>
      </c>
      <c r="B10" s="8" t="n">
        <v>2210.06</v>
      </c>
      <c r="C10" s="8" t="n">
        <v>10</v>
      </c>
      <c r="D10" s="8" t="n">
        <v>2265.985427854587</v>
      </c>
      <c r="E10" s="8" t="n">
        <v>33.08799443658943</v>
      </c>
      <c r="F10" s="8" t="n">
        <v>2232.54831023024</v>
      </c>
      <c r="G10" s="8" t="n">
        <v>2364.277944859386</v>
      </c>
      <c r="H10" s="5" t="n">
        <v>55.92542785458681</v>
      </c>
      <c r="I10" s="8" t="n">
        <v>23.08799443658943</v>
      </c>
      <c r="J10" s="6" t="inlineStr">
        <is>
          <t>❌ Worse</t>
        </is>
      </c>
      <c r="K10" s="7" t="inlineStr"/>
    </row>
    <row r="11">
      <c r="A11" s="3" t="inlineStr">
        <is>
          <t>F9 - Composition 1</t>
        </is>
      </c>
      <c r="B11" s="4" t="n">
        <v>2529.28</v>
      </c>
      <c r="C11" s="4" t="n">
        <v>0</v>
      </c>
      <c r="D11" s="4" t="n">
        <v>2458.226850064216</v>
      </c>
      <c r="E11" s="4" t="n">
        <v>166.299446673084</v>
      </c>
      <c r="F11" s="4" t="n">
        <v>2302.871047487976</v>
      </c>
      <c r="G11" s="4" t="n">
        <v>2685.635044175283</v>
      </c>
      <c r="H11" s="9" t="n">
        <v>-71.05314993578395</v>
      </c>
      <c r="I11" s="4" t="n">
        <v>166.299446673084</v>
      </c>
      <c r="J11" s="10" t="inlineStr">
        <is>
          <t>✅ Better</t>
        </is>
      </c>
      <c r="K11" s="3" t="inlineStr"/>
    </row>
    <row r="12">
      <c r="A12" s="7" t="inlineStr">
        <is>
          <t>F10 - Composition 2</t>
        </is>
      </c>
      <c r="B12" s="8" t="n">
        <v>2500.64</v>
      </c>
      <c r="C12" s="8" t="n">
        <v>0.518</v>
      </c>
      <c r="D12" s="8" t="n">
        <v>2631.663303077698</v>
      </c>
      <c r="E12" s="8" t="n">
        <v>19.92927519039115</v>
      </c>
      <c r="F12" s="8" t="n">
        <v>2621.912955919088</v>
      </c>
      <c r="G12" s="8" t="n">
        <v>2737.461861643262</v>
      </c>
      <c r="H12" s="5" t="n">
        <v>131.0233030776981</v>
      </c>
      <c r="I12" s="8" t="n">
        <v>19.41127519039115</v>
      </c>
      <c r="J12" s="6" t="inlineStr">
        <is>
          <t>❌ Worse</t>
        </is>
      </c>
      <c r="K12" s="7" t="inlineStr"/>
    </row>
    <row r="13">
      <c r="A13" s="3" t="inlineStr">
        <is>
          <t>F11 - Composition 3</t>
        </is>
      </c>
      <c r="B13" s="4" t="n">
        <v>2610</v>
      </c>
      <c r="C13" s="4" t="n">
        <v>54.8</v>
      </c>
      <c r="D13" s="4" t="n">
        <v>2603.094973576014</v>
      </c>
      <c r="E13" s="4" t="n">
        <v>2.251111717319487</v>
      </c>
      <c r="F13" s="4" t="n">
        <v>2601.199086919918</v>
      </c>
      <c r="G13" s="4" t="n">
        <v>2613.465606203702</v>
      </c>
      <c r="H13" s="9" t="n">
        <v>-6.905026423986328</v>
      </c>
      <c r="I13" s="4" t="n">
        <v>-52.54888828268051</v>
      </c>
      <c r="J13" s="10" t="inlineStr">
        <is>
          <t>✅ Better</t>
        </is>
      </c>
      <c r="K13" s="3" t="inlineStr"/>
    </row>
    <row r="14">
      <c r="A14" s="7" t="inlineStr">
        <is>
          <t>F12 - Composition 4</t>
        </is>
      </c>
      <c r="B14" s="8" t="n">
        <v>2861.61</v>
      </c>
      <c r="C14" s="8" t="n">
        <v>0.946</v>
      </c>
      <c r="D14" s="8" t="n">
        <v>2869.534379364793</v>
      </c>
      <c r="E14" s="8" t="n">
        <v>1.386944785891577</v>
      </c>
      <c r="F14" s="8" t="n">
        <v>2866.483286660208</v>
      </c>
      <c r="G14" s="8" t="n">
        <v>2871.642573487779</v>
      </c>
      <c r="H14" s="5" t="n">
        <v>7.924379364792458</v>
      </c>
      <c r="I14" s="8" t="n">
        <v>0.4409447858915769</v>
      </c>
      <c r="J14" s="6" t="inlineStr">
        <is>
          <t>❌ Worse</t>
        </is>
      </c>
      <c r="K14" s="7" t="inlineStr"/>
    </row>
    <row r="15">
      <c r="A15" s="11" t="inlineStr">
        <is>
          <t>Summary</t>
        </is>
      </c>
      <c r="D15" s="12">
        <f>COUNTIF(J3:J14,"*Better*")</f>
        <v/>
      </c>
      <c r="E15" s="12" t="inlineStr">
        <is>
          <t>Functions Better</t>
        </is>
      </c>
      <c r="F15" s="12">
        <f>COUNTIF(J3:J14,"*Worse*")</f>
        <v/>
      </c>
      <c r="G15" s="12" t="inlineStr">
        <is>
          <t>Functions Worse</t>
        </is>
      </c>
      <c r="H15" s="12">
        <f>COUNTIF(J3:J14,"*Equal*")</f>
        <v/>
      </c>
      <c r="I15" s="12" t="inlineStr">
        <is>
          <t>Functions Equal</t>
        </is>
      </c>
    </row>
  </sheetData>
  <mergeCells count="2">
    <mergeCell ref="A15:C15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8" customWidth="1" min="11" max="11"/>
  </cols>
  <sheetData>
    <row r="1" ht="28" customHeight="1">
      <c r="A1" s="1" t="inlineStr">
        <is>
          <t>CoDPSO Results Comparison — CEC 2022 (D=20)</t>
        </is>
      </c>
    </row>
    <row r="2" ht="22" customHeight="1">
      <c r="A2" s="2" t="inlineStr">
        <is>
          <t>Function</t>
        </is>
      </c>
      <c r="B2" s="2" t="inlineStr">
        <is>
          <t>Paper Mean</t>
        </is>
      </c>
      <c r="C2" s="2" t="inlineStr">
        <is>
          <t>Paper Std</t>
        </is>
      </c>
      <c r="D2" s="2" t="inlineStr">
        <is>
          <t>My Mean</t>
        </is>
      </c>
      <c r="E2" s="2" t="inlineStr">
        <is>
          <t>My Std</t>
        </is>
      </c>
      <c r="F2" s="2" t="inlineStr">
        <is>
          <t>My Best</t>
        </is>
      </c>
      <c r="G2" s="2" t="inlineStr">
        <is>
          <t>My Worst</t>
        </is>
      </c>
      <c r="H2" s="2" t="inlineStr">
        <is>
          <t>Diff (Mean)</t>
        </is>
      </c>
      <c r="I2" s="2" t="inlineStr">
        <is>
          <t>Diff (Std)</t>
        </is>
      </c>
      <c r="J2" s="2" t="inlineStr">
        <is>
          <t>Mean Better?</t>
        </is>
      </c>
      <c r="K2" s="2" t="inlineStr">
        <is>
          <t>Notes</t>
        </is>
      </c>
    </row>
    <row r="3">
      <c r="A3" s="3" t="inlineStr">
        <is>
          <t>F1 - Zakharov</t>
        </is>
      </c>
      <c r="B3" s="4" t="n">
        <v>300</v>
      </c>
      <c r="C3" s="4" t="n">
        <v>1.83e-14</v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6" t="inlineStr">
        <is>
          <t>❌ Worse</t>
        </is>
      </c>
      <c r="K3" s="3" t="inlineStr"/>
    </row>
    <row r="4">
      <c r="A4" s="7" t="inlineStr">
        <is>
          <t>F2 - Rosenbrock</t>
        </is>
      </c>
      <c r="B4" s="8" t="n">
        <v>422.16</v>
      </c>
      <c r="C4" s="8" t="n">
        <v>28.8</v>
      </c>
      <c r="D4" s="8" t="n">
        <v/>
      </c>
      <c r="E4" s="8" t="n">
        <v/>
      </c>
      <c r="F4" s="8" t="n">
        <v/>
      </c>
      <c r="G4" s="8" t="n">
        <v/>
      </c>
      <c r="H4" s="8" t="n">
        <v/>
      </c>
      <c r="I4" s="8" t="n">
        <v/>
      </c>
      <c r="J4" s="6" t="inlineStr">
        <is>
          <t>❌ Worse</t>
        </is>
      </c>
      <c r="K4" s="7" t="inlineStr"/>
    </row>
    <row r="5">
      <c r="A5" s="3" t="inlineStr">
        <is>
          <t>F3 - Schaffer f6</t>
        </is>
      </c>
      <c r="B5" s="4" t="n">
        <v>600.53</v>
      </c>
      <c r="C5" s="4" t="n">
        <v>0.777</v>
      </c>
      <c r="D5" s="4" t="n">
        <v/>
      </c>
      <c r="E5" s="4" t="n">
        <v/>
      </c>
      <c r="F5" s="4" t="n">
        <v/>
      </c>
      <c r="G5" s="4" t="n">
        <v/>
      </c>
      <c r="H5" s="4" t="n">
        <v/>
      </c>
      <c r="I5" s="4" t="n">
        <v/>
      </c>
      <c r="J5" s="6" t="inlineStr">
        <is>
          <t>❌ Worse</t>
        </is>
      </c>
      <c r="K5" s="3" t="inlineStr"/>
    </row>
    <row r="6">
      <c r="A6" s="7" t="inlineStr">
        <is>
          <t>F4 - Rastrigin</t>
        </is>
      </c>
      <c r="B6" s="8" t="n">
        <v>831.46</v>
      </c>
      <c r="C6" s="8" t="n">
        <v>6.29</v>
      </c>
      <c r="D6" s="8" t="n">
        <v/>
      </c>
      <c r="E6" s="8" t="n">
        <v/>
      </c>
      <c r="F6" s="8" t="n">
        <v/>
      </c>
      <c r="G6" s="8" t="n">
        <v/>
      </c>
      <c r="H6" s="8" t="n">
        <v/>
      </c>
      <c r="I6" s="8" t="n">
        <v/>
      </c>
      <c r="J6" s="6" t="inlineStr">
        <is>
          <t>❌ Worse</t>
        </is>
      </c>
      <c r="K6" s="7" t="inlineStr"/>
    </row>
    <row r="7">
      <c r="A7" s="3" t="inlineStr">
        <is>
          <t>F5 - Levy</t>
        </is>
      </c>
      <c r="B7" s="4" t="n">
        <v>905.96</v>
      </c>
      <c r="C7" s="4" t="n">
        <v>6.8</v>
      </c>
      <c r="D7" s="4" t="n">
        <v/>
      </c>
      <c r="E7" s="4" t="n">
        <v/>
      </c>
      <c r="F7" s="4" t="n">
        <v/>
      </c>
      <c r="G7" s="4" t="n">
        <v/>
      </c>
      <c r="H7" s="4" t="n">
        <v/>
      </c>
      <c r="I7" s="4" t="n">
        <v/>
      </c>
      <c r="J7" s="6" t="inlineStr">
        <is>
          <t>❌ Worse</t>
        </is>
      </c>
      <c r="K7" s="3" t="inlineStr"/>
    </row>
    <row r="8">
      <c r="A8" s="7" t="inlineStr">
        <is>
          <t>F6 - Hybrid 1</t>
        </is>
      </c>
      <c r="B8" s="8" t="n">
        <v>2050.76</v>
      </c>
      <c r="C8" s="8" t="n">
        <v>210</v>
      </c>
      <c r="D8" s="8" t="n">
        <v/>
      </c>
      <c r="E8" s="8" t="n">
        <v/>
      </c>
      <c r="F8" s="8" t="n">
        <v/>
      </c>
      <c r="G8" s="8" t="n">
        <v/>
      </c>
      <c r="H8" s="8" t="n">
        <v/>
      </c>
      <c r="I8" s="8" t="n">
        <v/>
      </c>
      <c r="J8" s="6" t="inlineStr">
        <is>
          <t>❌ Worse</t>
        </is>
      </c>
      <c r="K8" s="7" t="inlineStr"/>
    </row>
    <row r="9">
      <c r="A9" s="3" t="inlineStr">
        <is>
          <t>F7 - Hybrid 2</t>
        </is>
      </c>
      <c r="B9" s="4" t="n">
        <v>2035.73</v>
      </c>
      <c r="C9" s="4" t="n">
        <v>13.7</v>
      </c>
      <c r="D9" s="4" t="n">
        <v/>
      </c>
      <c r="E9" s="4" t="n">
        <v/>
      </c>
      <c r="F9" s="4" t="n">
        <v/>
      </c>
      <c r="G9" s="4" t="n">
        <v/>
      </c>
      <c r="H9" s="4" t="n">
        <v/>
      </c>
      <c r="I9" s="4" t="n">
        <v/>
      </c>
      <c r="J9" s="6" t="inlineStr">
        <is>
          <t>❌ Worse</t>
        </is>
      </c>
      <c r="K9" s="3" t="inlineStr"/>
    </row>
    <row r="10">
      <c r="A10" s="7" t="inlineStr">
        <is>
          <t>F8 - Hybrid 3</t>
        </is>
      </c>
      <c r="B10" s="8" t="n">
        <v>2223.4</v>
      </c>
      <c r="C10" s="8" t="n">
        <v>3.44</v>
      </c>
      <c r="D10" s="8" t="n">
        <v/>
      </c>
      <c r="E10" s="8" t="n">
        <v/>
      </c>
      <c r="F10" s="8" t="n">
        <v/>
      </c>
      <c r="G10" s="8" t="n">
        <v/>
      </c>
      <c r="H10" s="8" t="n">
        <v/>
      </c>
      <c r="I10" s="8" t="n">
        <v/>
      </c>
      <c r="J10" s="6" t="inlineStr">
        <is>
          <t>❌ Worse</t>
        </is>
      </c>
      <c r="K10" s="7" t="inlineStr"/>
    </row>
    <row r="11">
      <c r="A11" s="3" t="inlineStr">
        <is>
          <t>F9 - Composition 1</t>
        </is>
      </c>
      <c r="B11" s="4" t="n">
        <v>2480.78</v>
      </c>
      <c r="C11" s="4" t="n">
        <v>1.17e-12</v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6" t="inlineStr">
        <is>
          <t>❌ Worse</t>
        </is>
      </c>
      <c r="K11" s="3" t="inlineStr"/>
    </row>
    <row r="12">
      <c r="A12" s="7" t="inlineStr">
        <is>
          <t>F10 - Composition 2</t>
        </is>
      </c>
      <c r="B12" s="8" t="n">
        <v>2516.76</v>
      </c>
      <c r="C12" s="8" t="n">
        <v>53.8</v>
      </c>
      <c r="D12" s="8" t="n">
        <v/>
      </c>
      <c r="E12" s="8" t="n">
        <v/>
      </c>
      <c r="F12" s="8" t="n">
        <v/>
      </c>
      <c r="G12" s="8" t="n">
        <v/>
      </c>
      <c r="H12" s="8" t="n">
        <v/>
      </c>
      <c r="I12" s="8" t="n">
        <v/>
      </c>
      <c r="J12" s="6" t="inlineStr">
        <is>
          <t>❌ Worse</t>
        </is>
      </c>
      <c r="K12" s="7" t="inlineStr"/>
    </row>
    <row r="13">
      <c r="A13" s="3" t="inlineStr">
        <is>
          <t>F11 - Composition 3</t>
        </is>
      </c>
      <c r="B13" s="4" t="n">
        <v>2853.42</v>
      </c>
      <c r="C13" s="4" t="n">
        <v>158</v>
      </c>
      <c r="D13" s="4" t="n">
        <v/>
      </c>
      <c r="E13" s="4" t="n">
        <v/>
      </c>
      <c r="F13" s="4" t="n">
        <v/>
      </c>
      <c r="G13" s="4" t="n">
        <v/>
      </c>
      <c r="H13" s="4" t="n">
        <v/>
      </c>
      <c r="I13" s="4" t="n">
        <v/>
      </c>
      <c r="J13" s="6" t="inlineStr">
        <is>
          <t>❌ Worse</t>
        </is>
      </c>
      <c r="K13" s="3" t="inlineStr"/>
    </row>
    <row r="14">
      <c r="A14" s="7" t="inlineStr">
        <is>
          <t>F12 - Composition 4</t>
        </is>
      </c>
      <c r="B14" s="8" t="n">
        <v>2947.63</v>
      </c>
      <c r="C14" s="8" t="n">
        <v>3.88</v>
      </c>
      <c r="D14" s="8" t="n">
        <v/>
      </c>
      <c r="E14" s="8" t="n">
        <v/>
      </c>
      <c r="F14" s="8" t="n">
        <v/>
      </c>
      <c r="G14" s="8" t="n">
        <v/>
      </c>
      <c r="H14" s="8" t="n">
        <v/>
      </c>
      <c r="I14" s="8" t="n">
        <v/>
      </c>
      <c r="J14" s="6" t="inlineStr">
        <is>
          <t>❌ Worse</t>
        </is>
      </c>
      <c r="K14" s="7" t="inlineStr"/>
    </row>
    <row r="15">
      <c r="A15" s="11" t="inlineStr">
        <is>
          <t>Summary</t>
        </is>
      </c>
      <c r="D15" s="12">
        <f>COUNTIF(J3:J14,"*Better*")</f>
        <v/>
      </c>
      <c r="E15" s="12" t="inlineStr">
        <is>
          <t>Functions Better</t>
        </is>
      </c>
      <c r="F15" s="12">
        <f>COUNTIF(J3:J14,"*Worse*")</f>
        <v/>
      </c>
      <c r="G15" s="12" t="inlineStr">
        <is>
          <t>Functions Worse</t>
        </is>
      </c>
      <c r="H15" s="12">
        <f>COUNTIF(J3:J14,"*Equal*")</f>
        <v/>
      </c>
      <c r="I15" s="12" t="inlineStr">
        <is>
          <t>Functions Equal</t>
        </is>
      </c>
    </row>
  </sheetData>
  <mergeCells count="2">
    <mergeCell ref="A15:C15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 ht="24" customHeight="1">
      <c r="A1" s="1" t="inlineStr">
        <is>
          <t>Raw Run Results — CEC 2022 (D=10) — 30 Independent Runs</t>
        </is>
      </c>
    </row>
    <row r="2" ht="20" customHeight="1">
      <c r="A2" s="2" t="inlineStr">
        <is>
          <t>Function</t>
        </is>
      </c>
      <c r="B2" s="2" t="inlineStr">
        <is>
          <t>Run 1</t>
        </is>
      </c>
      <c r="C2" s="2" t="inlineStr">
        <is>
          <t>Run 2</t>
        </is>
      </c>
      <c r="D2" s="2" t="inlineStr">
        <is>
          <t>Run 3</t>
        </is>
      </c>
      <c r="E2" s="2" t="inlineStr">
        <is>
          <t>Run 4</t>
        </is>
      </c>
      <c r="F2" s="2" t="inlineStr">
        <is>
          <t>Run 5</t>
        </is>
      </c>
      <c r="G2" s="2" t="inlineStr">
        <is>
          <t>Run 6</t>
        </is>
      </c>
      <c r="H2" s="2" t="inlineStr">
        <is>
          <t>Run 7</t>
        </is>
      </c>
      <c r="I2" s="2" t="inlineStr">
        <is>
          <t>Run 8</t>
        </is>
      </c>
      <c r="J2" s="2" t="inlineStr">
        <is>
          <t>Run 9</t>
        </is>
      </c>
      <c r="K2" s="2" t="inlineStr">
        <is>
          <t>Run 10</t>
        </is>
      </c>
      <c r="L2" s="2" t="inlineStr">
        <is>
          <t>Run 11</t>
        </is>
      </c>
      <c r="M2" s="2" t="inlineStr">
        <is>
          <t>Run 12</t>
        </is>
      </c>
      <c r="N2" s="2" t="inlineStr">
        <is>
          <t>Run 13</t>
        </is>
      </c>
      <c r="O2" s="2" t="inlineStr">
        <is>
          <t>Run 14</t>
        </is>
      </c>
      <c r="P2" s="2" t="inlineStr">
        <is>
          <t>Run 15</t>
        </is>
      </c>
      <c r="Q2" s="2" t="inlineStr">
        <is>
          <t>Run 16</t>
        </is>
      </c>
      <c r="R2" s="2" t="inlineStr">
        <is>
          <t>Run 17</t>
        </is>
      </c>
      <c r="S2" s="2" t="inlineStr">
        <is>
          <t>Run 18</t>
        </is>
      </c>
      <c r="T2" s="2" t="inlineStr">
        <is>
          <t>Run 19</t>
        </is>
      </c>
      <c r="U2" s="2" t="inlineStr">
        <is>
          <t>Run 20</t>
        </is>
      </c>
      <c r="V2" s="2" t="inlineStr">
        <is>
          <t>Run 21</t>
        </is>
      </c>
      <c r="W2" s="2" t="inlineStr">
        <is>
          <t>Run 22</t>
        </is>
      </c>
      <c r="X2" s="2" t="inlineStr">
        <is>
          <t>Run 23</t>
        </is>
      </c>
      <c r="Y2" s="2" t="inlineStr">
        <is>
          <t>Run 24</t>
        </is>
      </c>
      <c r="Z2" s="2" t="inlineStr">
        <is>
          <t>Run 25</t>
        </is>
      </c>
      <c r="AA2" s="2" t="inlineStr">
        <is>
          <t>Run 26</t>
        </is>
      </c>
      <c r="AB2" s="2" t="inlineStr">
        <is>
          <t>Run 27</t>
        </is>
      </c>
      <c r="AC2" s="2" t="inlineStr">
        <is>
          <t>Run 28</t>
        </is>
      </c>
      <c r="AD2" s="2" t="inlineStr">
        <is>
          <t>Run 29</t>
        </is>
      </c>
      <c r="AE2" s="2" t="inlineStr">
        <is>
          <t>Run 30</t>
        </is>
      </c>
      <c r="AF2" s="2" t="inlineStr">
        <is>
          <t>Mean</t>
        </is>
      </c>
      <c r="AG2" s="2" t="inlineStr">
        <is>
          <t>Std</t>
        </is>
      </c>
      <c r="AH2" s="2" t="inlineStr">
        <is>
          <t>Best</t>
        </is>
      </c>
      <c r="AI2" s="2" t="inlineStr">
        <is>
          <t>Worst</t>
        </is>
      </c>
    </row>
    <row r="3">
      <c r="A3" s="13" t="inlineStr">
        <is>
          <t>F1 - Zakharov</t>
        </is>
      </c>
      <c r="B3" s="4" t="n">
        <v>420.9908092402636</v>
      </c>
      <c r="C3" s="4" t="n">
        <v>454.1209925992216</v>
      </c>
      <c r="D3" s="4" t="n">
        <v>376.3683527813702</v>
      </c>
      <c r="E3" s="4" t="n">
        <v>303.4071813107659</v>
      </c>
      <c r="F3" s="4" t="n">
        <v>356.7045432332897</v>
      </c>
      <c r="G3" s="4" t="n">
        <v>404.8690847612032</v>
      </c>
      <c r="H3" s="4" t="n">
        <v>335.4459784075326</v>
      </c>
      <c r="I3" s="4" t="n">
        <v>320.6580074379457</v>
      </c>
      <c r="J3" s="4" t="n">
        <v>378.3363060027584</v>
      </c>
      <c r="K3" s="4" t="n">
        <v>382.6611910744388</v>
      </c>
      <c r="L3" s="4" t="n">
        <v>408.5613119862915</v>
      </c>
      <c r="M3" s="4" t="n">
        <v>401.0196793244363</v>
      </c>
      <c r="N3" s="4" t="n">
        <v>320.1030995564457</v>
      </c>
      <c r="O3" s="4" t="n">
        <v>379.1234345647153</v>
      </c>
      <c r="P3" s="4" t="n">
        <v>327.4549615621276</v>
      </c>
      <c r="Q3" s="4" t="n">
        <v>322.975950283474</v>
      </c>
      <c r="R3" s="4" t="n">
        <v>396.9934102281561</v>
      </c>
      <c r="S3" s="4" t="n">
        <v>397.3442077239271</v>
      </c>
      <c r="T3" s="4" t="n">
        <v>322.0500004733734</v>
      </c>
      <c r="U3" s="4" t="n">
        <v>331.4872086427741</v>
      </c>
      <c r="V3" s="4" t="n">
        <v>360.657127956658</v>
      </c>
      <c r="W3" s="4" t="n">
        <v>323.0150987035598</v>
      </c>
      <c r="X3" s="4" t="n">
        <v>334.6380248339022</v>
      </c>
      <c r="Y3" s="4" t="n">
        <v>324.6306182263328</v>
      </c>
      <c r="Z3" s="4" t="n">
        <v>351.6220763118131</v>
      </c>
      <c r="AA3" s="4" t="n">
        <v>323.0333724195868</v>
      </c>
      <c r="AB3" s="4" t="n">
        <v>360.639514694384</v>
      </c>
      <c r="AC3" s="4" t="n">
        <v>336.768398871633</v>
      </c>
      <c r="AD3" s="4" t="n">
        <v>465.4884479344549</v>
      </c>
      <c r="AE3" s="4" t="n">
        <v>324.5974426236618</v>
      </c>
      <c r="AF3" s="14">
        <f>AVERAGE(B3:AE3)</f>
        <v/>
      </c>
      <c r="AG3" s="14">
        <f>STDEV(B3:AE3)</f>
        <v/>
      </c>
      <c r="AH3" s="14">
        <f>MIN(B3:AE3)</f>
        <v/>
      </c>
      <c r="AI3" s="14">
        <f>MAX(B3:AE3)</f>
        <v/>
      </c>
    </row>
    <row r="4">
      <c r="A4" s="15" t="inlineStr">
        <is>
          <t>F2 - Rosenbrock</t>
        </is>
      </c>
      <c r="B4" s="8" t="n">
        <v>402.7684966000693</v>
      </c>
      <c r="C4" s="8" t="n">
        <v>403.3327294920668</v>
      </c>
      <c r="D4" s="8" t="n">
        <v>411.3511088557756</v>
      </c>
      <c r="E4" s="8" t="n">
        <v>406.5059577232565</v>
      </c>
      <c r="F4" s="8" t="n">
        <v>400.8240422783372</v>
      </c>
      <c r="G4" s="8" t="n">
        <v>408.3657278372455</v>
      </c>
      <c r="H4" s="8" t="n">
        <v>407.0632577175348</v>
      </c>
      <c r="I4" s="8" t="n">
        <v>403.8775267393817</v>
      </c>
      <c r="J4" s="8" t="n">
        <v>408.8765201177171</v>
      </c>
      <c r="K4" s="8" t="n">
        <v>407.3450049310541</v>
      </c>
      <c r="L4" s="8" t="n">
        <v>407.2987862636901</v>
      </c>
      <c r="M4" s="8" t="n">
        <v>410.8220207421629</v>
      </c>
      <c r="N4" s="8" t="n">
        <v>411.2716749951225</v>
      </c>
      <c r="O4" s="8" t="n">
        <v>409.2339298897122</v>
      </c>
      <c r="P4" s="8" t="n">
        <v>402.78272509934</v>
      </c>
      <c r="Q4" s="8" t="n">
        <v>402.5357054675363</v>
      </c>
      <c r="R4" s="8" t="n">
        <v>410.3918860588995</v>
      </c>
      <c r="S4" s="8" t="n">
        <v>409.5839513258777</v>
      </c>
      <c r="T4" s="8" t="n">
        <v>410.5884488780297</v>
      </c>
      <c r="U4" s="8" t="n">
        <v>401.4758646123083</v>
      </c>
      <c r="V4" s="8" t="n">
        <v>406.2362790091232</v>
      </c>
      <c r="W4" s="8" t="n">
        <v>409.6700535812371</v>
      </c>
      <c r="X4" s="8" t="n">
        <v>410.8789323585264</v>
      </c>
      <c r="Y4" s="8" t="n">
        <v>402.9907521246309</v>
      </c>
      <c r="Z4" s="8" t="n">
        <v>401.4556190535251</v>
      </c>
      <c r="AA4" s="8" t="n">
        <v>403.1861604328385</v>
      </c>
      <c r="AB4" s="8" t="n">
        <v>403.6919388672537</v>
      </c>
      <c r="AC4" s="8" t="n">
        <v>410.1089814291578</v>
      </c>
      <c r="AD4" s="8" t="n">
        <v>407.3725049108983</v>
      </c>
      <c r="AE4" s="8" t="n">
        <v>423.0206071114724</v>
      </c>
      <c r="AF4" s="14">
        <f>AVERAGE(B4:AE4)</f>
        <v/>
      </c>
      <c r="AG4" s="14">
        <f>STDEV(B4:AE4)</f>
        <v/>
      </c>
      <c r="AH4" s="14">
        <f>MIN(B4:AE4)</f>
        <v/>
      </c>
      <c r="AI4" s="14">
        <f>MAX(B4:AE4)</f>
        <v/>
      </c>
    </row>
    <row r="5">
      <c r="A5" s="13" t="inlineStr">
        <is>
          <t>F3 - Schaffer f6</t>
        </is>
      </c>
      <c r="B5" s="4" t="n">
        <v>600.0013788170503</v>
      </c>
      <c r="C5" s="4" t="n">
        <v>600.0002759992343</v>
      </c>
      <c r="D5" s="4" t="n">
        <v>600.0002956388056</v>
      </c>
      <c r="E5" s="4" t="n">
        <v>600.0005340325159</v>
      </c>
      <c r="F5" s="4" t="n">
        <v>600.0003306472061</v>
      </c>
      <c r="G5" s="4" t="n">
        <v>600.0014778646824</v>
      </c>
      <c r="H5" s="4" t="n">
        <v>600.0003445402141</v>
      </c>
      <c r="I5" s="4" t="n">
        <v>600.0005265995748</v>
      </c>
      <c r="J5" s="4" t="n">
        <v>600.0008503437019</v>
      </c>
      <c r="K5" s="4" t="n">
        <v>600.0009594456276</v>
      </c>
      <c r="L5" s="4" t="n">
        <v>600.0005375892654</v>
      </c>
      <c r="M5" s="4" t="n">
        <v>600.000234478868</v>
      </c>
      <c r="N5" s="4" t="n">
        <v>600.000233470666</v>
      </c>
      <c r="O5" s="4" t="n">
        <v>600.0001575176098</v>
      </c>
      <c r="P5" s="4" t="n">
        <v>600.0013132009612</v>
      </c>
      <c r="Q5" s="4" t="n">
        <v>600.0000992154812</v>
      </c>
      <c r="R5" s="4" t="n">
        <v>600.0004958291033</v>
      </c>
      <c r="S5" s="4" t="n">
        <v>600.000198938789</v>
      </c>
      <c r="T5" s="4" t="n">
        <v>600.0002017780362</v>
      </c>
      <c r="U5" s="4" t="n">
        <v>600.0004265025474</v>
      </c>
      <c r="V5" s="4" t="n">
        <v>600.0003199449268</v>
      </c>
      <c r="W5" s="4" t="n">
        <v>600.0002683284192</v>
      </c>
      <c r="X5" s="4" t="n">
        <v>600.0003198936598</v>
      </c>
      <c r="Y5" s="4" t="n">
        <v>600.000733284353</v>
      </c>
      <c r="Z5" s="4" t="n">
        <v>600.0004764486445</v>
      </c>
      <c r="AA5" s="4" t="n">
        <v>600.0006244554218</v>
      </c>
      <c r="AB5" s="4" t="n">
        <v>600.0006413013316</v>
      </c>
      <c r="AC5" s="4" t="n">
        <v>600.000730550202</v>
      </c>
      <c r="AD5" s="4" t="n">
        <v>600.0003890763593</v>
      </c>
      <c r="AE5" s="4" t="n">
        <v>600.0006078491846</v>
      </c>
      <c r="AF5" s="14">
        <f>AVERAGE(B5:AE5)</f>
        <v/>
      </c>
      <c r="AG5" s="14">
        <f>STDEV(B5:AE5)</f>
        <v/>
      </c>
      <c r="AH5" s="14">
        <f>MIN(B5:AE5)</f>
        <v/>
      </c>
      <c r="AI5" s="14">
        <f>MAX(B5:AE5)</f>
        <v/>
      </c>
    </row>
    <row r="6">
      <c r="A6" s="15" t="inlineStr">
        <is>
          <t>F4 - Rastrigin</t>
        </is>
      </c>
      <c r="B6" s="8" t="n">
        <v>816.0029478878902</v>
      </c>
      <c r="C6" s="8" t="n">
        <v>836.0075863035028</v>
      </c>
      <c r="D6" s="8" t="n">
        <v>836.0079811465753</v>
      </c>
      <c r="E6" s="8" t="n">
        <v>834.4325388452221</v>
      </c>
      <c r="F6" s="8" t="n">
        <v>838.0006586651903</v>
      </c>
      <c r="G6" s="8" t="n">
        <v>838.0312118244892</v>
      </c>
      <c r="H6" s="8" t="n">
        <v>840.0051353223214</v>
      </c>
      <c r="I6" s="8" t="n">
        <v>840.0002313360019</v>
      </c>
      <c r="J6" s="8" t="n">
        <v>820.0002621433032</v>
      </c>
      <c r="K6" s="8" t="n">
        <v>825.2309235670307</v>
      </c>
      <c r="L6" s="8" t="n">
        <v>828.000013416948</v>
      </c>
      <c r="M6" s="8" t="n">
        <v>818.4390375342094</v>
      </c>
      <c r="N6" s="8" t="n">
        <v>823.1985174474312</v>
      </c>
      <c r="O6" s="8" t="n">
        <v>844.0000135899032</v>
      </c>
      <c r="P6" s="8" t="n">
        <v>820.0121093532653</v>
      </c>
      <c r="Q6" s="8" t="n">
        <v>830.016543242516</v>
      </c>
      <c r="R6" s="8" t="n">
        <v>824.0000003344646</v>
      </c>
      <c r="S6" s="8" t="n">
        <v>826.0016948406562</v>
      </c>
      <c r="T6" s="8" t="n">
        <v>844.0002146522356</v>
      </c>
      <c r="U6" s="8" t="n">
        <v>830.0033613899026</v>
      </c>
      <c r="V6" s="8" t="n">
        <v>834.7728894610322</v>
      </c>
      <c r="W6" s="8" t="n">
        <v>826.1130194264462</v>
      </c>
      <c r="X6" s="8" t="n">
        <v>840.0066383821966</v>
      </c>
      <c r="Y6" s="8" t="n">
        <v>822.0000029032416</v>
      </c>
      <c r="Z6" s="8" t="n">
        <v>814.576713536744</v>
      </c>
      <c r="AA6" s="8" t="n">
        <v>832.813349809114</v>
      </c>
      <c r="AB6" s="8" t="n">
        <v>833.4800914817139</v>
      </c>
      <c r="AC6" s="8" t="n">
        <v>816.0000335121691</v>
      </c>
      <c r="AD6" s="8" t="n">
        <v>824.0720002860303</v>
      </c>
      <c r="AE6" s="8" t="n">
        <v>840.0001720161486</v>
      </c>
      <c r="AF6" s="14">
        <f>AVERAGE(B6:AE6)</f>
        <v/>
      </c>
      <c r="AG6" s="14">
        <f>STDEV(B6:AE6)</f>
        <v/>
      </c>
      <c r="AH6" s="14">
        <f>MIN(B6:AE6)</f>
        <v/>
      </c>
      <c r="AI6" s="14">
        <f>MAX(B6:AE6)</f>
        <v/>
      </c>
    </row>
    <row r="7">
      <c r="A7" s="13" t="inlineStr">
        <is>
          <t>F5 - Levy</t>
        </is>
      </c>
      <c r="B7" s="4" t="n">
        <v>900.103073040422</v>
      </c>
      <c r="C7" s="4" t="n">
        <v>900.916660203855</v>
      </c>
      <c r="D7" s="4" t="n">
        <v>900.1247857770868</v>
      </c>
      <c r="E7" s="4" t="n">
        <v>900.1065792052111</v>
      </c>
      <c r="F7" s="4" t="n">
        <v>900.182725814533</v>
      </c>
      <c r="G7" s="4" t="n">
        <v>900.3241140807201</v>
      </c>
      <c r="H7" s="4" t="n">
        <v>900.093052858267</v>
      </c>
      <c r="I7" s="4" t="n">
        <v>900.1102287955664</v>
      </c>
      <c r="J7" s="4" t="n">
        <v>900.4552053822622</v>
      </c>
      <c r="K7" s="4" t="n">
        <v>900.1097741971154</v>
      </c>
      <c r="L7" s="4" t="n">
        <v>900.1370666824632</v>
      </c>
      <c r="M7" s="4" t="n">
        <v>900.0973136737143</v>
      </c>
      <c r="N7" s="4" t="n">
        <v>900.1063873084341</v>
      </c>
      <c r="O7" s="4" t="n">
        <v>900.5770784742201</v>
      </c>
      <c r="P7" s="4" t="n">
        <v>900.0826460885953</v>
      </c>
      <c r="Q7" s="4" t="n">
        <v>900.5584894417008</v>
      </c>
      <c r="R7" s="4" t="n">
        <v>900.5252133598027</v>
      </c>
      <c r="S7" s="4" t="n">
        <v>900.4229766747981</v>
      </c>
      <c r="T7" s="4" t="n">
        <v>900.0095341146111</v>
      </c>
      <c r="U7" s="4" t="n">
        <v>900.0211516511494</v>
      </c>
      <c r="V7" s="4" t="n">
        <v>900.1067161622095</v>
      </c>
      <c r="W7" s="4" t="n">
        <v>900.1886585668434</v>
      </c>
      <c r="X7" s="4" t="n">
        <v>900.6091323766791</v>
      </c>
      <c r="Y7" s="4" t="n">
        <v>900.1822501351462</v>
      </c>
      <c r="Z7" s="4" t="n">
        <v>900.1943158186094</v>
      </c>
      <c r="AA7" s="4" t="n">
        <v>900.2753645632519</v>
      </c>
      <c r="AB7" s="4" t="n">
        <v>900.0930415349804</v>
      </c>
      <c r="AC7" s="4" t="n">
        <v>900.1875344764301</v>
      </c>
      <c r="AD7" s="4" t="n">
        <v>900.064909983927</v>
      </c>
      <c r="AE7" s="4" t="n">
        <v>900.2915046021762</v>
      </c>
      <c r="AF7" s="14">
        <f>AVERAGE(B7:AE7)</f>
        <v/>
      </c>
      <c r="AG7" s="14">
        <f>STDEV(B7:AE7)</f>
        <v/>
      </c>
      <c r="AH7" s="14">
        <f>MIN(B7:AE7)</f>
        <v/>
      </c>
      <c r="AI7" s="14">
        <f>MAX(B7:AE7)</f>
        <v/>
      </c>
    </row>
    <row r="8">
      <c r="A8" s="15" t="inlineStr">
        <is>
          <t>F6 - Hybrid 1</t>
        </is>
      </c>
      <c r="B8" s="8" t="n">
        <v>25298.74202856733</v>
      </c>
      <c r="C8" s="8" t="n">
        <v>19121.63696116208</v>
      </c>
      <c r="D8" s="8" t="n">
        <v>15178.66749906807</v>
      </c>
      <c r="E8" s="8" t="n">
        <v>10734.79018907541</v>
      </c>
      <c r="F8" s="8" t="n">
        <v>19605.03937390367</v>
      </c>
      <c r="G8" s="8" t="n">
        <v>20826.44450655431</v>
      </c>
      <c r="H8" s="8" t="n">
        <v>12670.70394967191</v>
      </c>
      <c r="I8" s="8" t="n">
        <v>14588.60442383063</v>
      </c>
      <c r="J8" s="8" t="n">
        <v>15185.38427654161</v>
      </c>
      <c r="K8" s="8" t="n">
        <v>13136.32360367071</v>
      </c>
      <c r="L8" s="8" t="n">
        <v>26091.79008430067</v>
      </c>
      <c r="M8" s="8" t="n">
        <v>8681.249668900695</v>
      </c>
      <c r="N8" s="8" t="n">
        <v>18197.78549980608</v>
      </c>
      <c r="O8" s="8" t="n">
        <v>15371.59281487943</v>
      </c>
      <c r="P8" s="8" t="n">
        <v>20518.96550296429</v>
      </c>
      <c r="Q8" s="8" t="n">
        <v>22348.97923630883</v>
      </c>
      <c r="R8" s="8" t="n">
        <v>12179.79881353355</v>
      </c>
      <c r="S8" s="8" t="n">
        <v>16591.10553614695</v>
      </c>
      <c r="T8" s="8" t="n">
        <v>29511.92460572807</v>
      </c>
      <c r="U8" s="8" t="n">
        <v>5433.228342735481</v>
      </c>
      <c r="V8" s="8" t="n">
        <v>6566.946631789148</v>
      </c>
      <c r="W8" s="8" t="n">
        <v>5997.236547392213</v>
      </c>
      <c r="X8" s="8" t="n">
        <v>20330.83825643284</v>
      </c>
      <c r="Y8" s="8" t="n">
        <v>9134.64737295176</v>
      </c>
      <c r="Z8" s="8" t="n">
        <v>13670.6711540964</v>
      </c>
      <c r="AA8" s="8" t="n">
        <v>10922.67185098809</v>
      </c>
      <c r="AB8" s="8" t="n">
        <v>21931.57539691891</v>
      </c>
      <c r="AC8" s="8" t="n">
        <v>10442.85681493113</v>
      </c>
      <c r="AD8" s="8" t="n">
        <v>12989.25761045158</v>
      </c>
      <c r="AE8" s="8" t="n">
        <v>25115.30987079328</v>
      </c>
      <c r="AF8" s="14">
        <f>AVERAGE(B8:AE8)</f>
        <v/>
      </c>
      <c r="AG8" s="14">
        <f>STDEV(B8:AE8)</f>
        <v/>
      </c>
      <c r="AH8" s="14">
        <f>MIN(B8:AE8)</f>
        <v/>
      </c>
      <c r="AI8" s="14">
        <f>MAX(B8:AE8)</f>
        <v/>
      </c>
    </row>
    <row r="9">
      <c r="A9" s="13" t="inlineStr">
        <is>
          <t>F7 - Hybrid 2</t>
        </is>
      </c>
      <c r="B9" s="4" t="n">
        <v>2045.888725998574</v>
      </c>
      <c r="C9" s="4" t="n">
        <v>2031.103165050863</v>
      </c>
      <c r="D9" s="4" t="n">
        <v>2028.894369296055</v>
      </c>
      <c r="E9" s="4" t="n">
        <v>2047.333837053807</v>
      </c>
      <c r="F9" s="4" t="n">
        <v>2047.659621146345</v>
      </c>
      <c r="G9" s="4" t="n">
        <v>2038.029694166643</v>
      </c>
      <c r="H9" s="4" t="n">
        <v>2038.170690403951</v>
      </c>
      <c r="I9" s="4" t="n">
        <v>2028.740040807533</v>
      </c>
      <c r="J9" s="4" t="n">
        <v>2038.180925702935</v>
      </c>
      <c r="K9" s="4" t="n">
        <v>2049.808260383828</v>
      </c>
      <c r="L9" s="4" t="n">
        <v>2047.256560251627</v>
      </c>
      <c r="M9" s="4" t="n">
        <v>2026.510521086622</v>
      </c>
      <c r="N9" s="4" t="n">
        <v>2040.456388764997</v>
      </c>
      <c r="O9" s="4" t="n">
        <v>2031.10980145001</v>
      </c>
      <c r="P9" s="4" t="n">
        <v>2034.634454236838</v>
      </c>
      <c r="Q9" s="4" t="n">
        <v>2042.799152904652</v>
      </c>
      <c r="R9" s="4" t="n">
        <v>2035.220061692831</v>
      </c>
      <c r="S9" s="4" t="n">
        <v>2055.263419620967</v>
      </c>
      <c r="T9" s="4" t="n">
        <v>2048.025732817275</v>
      </c>
      <c r="U9" s="4" t="n">
        <v>2053.690878266543</v>
      </c>
      <c r="V9" s="4" t="n">
        <v>2048.872711547389</v>
      </c>
      <c r="W9" s="4" t="n">
        <v>2046.455189346791</v>
      </c>
      <c r="X9" s="4" t="n">
        <v>2043.324352569</v>
      </c>
      <c r="Y9" s="4" t="n">
        <v>2043.348996868815</v>
      </c>
      <c r="Z9" s="4" t="n">
        <v>2030.313971969019</v>
      </c>
      <c r="AA9" s="4" t="n">
        <v>2043.671658236005</v>
      </c>
      <c r="AB9" s="4" t="n">
        <v>2047.686510390961</v>
      </c>
      <c r="AC9" s="4" t="n">
        <v>2026.055861615045</v>
      </c>
      <c r="AD9" s="4" t="n">
        <v>2040.673700673946</v>
      </c>
      <c r="AE9" s="4" t="n">
        <v>2039.582753584868</v>
      </c>
      <c r="AF9" s="14">
        <f>AVERAGE(B9:AE9)</f>
        <v/>
      </c>
      <c r="AG9" s="14">
        <f>STDEV(B9:AE9)</f>
        <v/>
      </c>
      <c r="AH9" s="14">
        <f>MIN(B9:AE9)</f>
        <v/>
      </c>
      <c r="AI9" s="14">
        <f>MAX(B9:AE9)</f>
        <v/>
      </c>
    </row>
    <row r="10">
      <c r="A10" s="15" t="inlineStr">
        <is>
          <t>F8 - Hybrid 3</t>
        </is>
      </c>
      <c r="B10" s="8" t="n">
        <v>2283.896633639951</v>
      </c>
      <c r="C10" s="8" t="n">
        <v>2258.429973834677</v>
      </c>
      <c r="D10" s="8" t="n">
        <v>2259.695976962278</v>
      </c>
      <c r="E10" s="8" t="n">
        <v>2239.461570010761</v>
      </c>
      <c r="F10" s="8" t="n">
        <v>2267.605599210583</v>
      </c>
      <c r="G10" s="8" t="n">
        <v>2252.634875439434</v>
      </c>
      <c r="H10" s="8" t="n">
        <v>2282.586861190676</v>
      </c>
      <c r="I10" s="8" t="n">
        <v>2293.039990328679</v>
      </c>
      <c r="J10" s="8" t="n">
        <v>2232.54831023024</v>
      </c>
      <c r="K10" s="8" t="n">
        <v>2235.754519536971</v>
      </c>
      <c r="L10" s="8" t="n">
        <v>2364.277944859386</v>
      </c>
      <c r="M10" s="8" t="n">
        <v>2253.941045457138</v>
      </c>
      <c r="N10" s="8" t="n">
        <v>2273.66122264841</v>
      </c>
      <c r="O10" s="8" t="n">
        <v>2270.142154981856</v>
      </c>
      <c r="P10" s="8" t="n">
        <v>2247.290694458624</v>
      </c>
      <c r="Q10" s="8" t="n">
        <v>2242.963287733893</v>
      </c>
      <c r="R10" s="8" t="n">
        <v>2236.072730484763</v>
      </c>
      <c r="S10" s="8" t="n">
        <v>2232.659586094473</v>
      </c>
      <c r="T10" s="8" t="n">
        <v>2299.913420007302</v>
      </c>
      <c r="U10" s="8" t="n">
        <v>2258.715547609696</v>
      </c>
      <c r="V10" s="8" t="n">
        <v>2363.773034862572</v>
      </c>
      <c r="W10" s="8" t="n">
        <v>2242.135812097011</v>
      </c>
      <c r="X10" s="8" t="n">
        <v>2248.20120626069</v>
      </c>
      <c r="Y10" s="8" t="n">
        <v>2274.261342145646</v>
      </c>
      <c r="Z10" s="8" t="n">
        <v>2236.814186890071</v>
      </c>
      <c r="AA10" s="8" t="n">
        <v>2287.17789394186</v>
      </c>
      <c r="AB10" s="8" t="n">
        <v>2301.506617275185</v>
      </c>
      <c r="AC10" s="8" t="n">
        <v>2244.897405512221</v>
      </c>
      <c r="AD10" s="8" t="n">
        <v>2260.868875792101</v>
      </c>
      <c r="AE10" s="8" t="n">
        <v>2234.634516140445</v>
      </c>
      <c r="AF10" s="14">
        <f>AVERAGE(B10:AE10)</f>
        <v/>
      </c>
      <c r="AG10" s="14">
        <f>STDEV(B10:AE10)</f>
        <v/>
      </c>
      <c r="AH10" s="14">
        <f>MIN(B10:AE10)</f>
        <v/>
      </c>
      <c r="AI10" s="14">
        <f>MAX(B10:AE10)</f>
        <v/>
      </c>
    </row>
    <row r="11">
      <c r="A11" s="13" t="inlineStr">
        <is>
          <t>F9 - Composition 1</t>
        </is>
      </c>
      <c r="B11" s="4" t="n">
        <v>2318.698841834612</v>
      </c>
      <c r="C11" s="4" t="n">
        <v>2305.887139457918</v>
      </c>
      <c r="D11" s="4" t="n">
        <v>2672.208207978722</v>
      </c>
      <c r="E11" s="4" t="n">
        <v>2307.490023213351</v>
      </c>
      <c r="F11" s="4" t="n">
        <v>2685.635044175283</v>
      </c>
      <c r="G11" s="4" t="n">
        <v>2671.608335922674</v>
      </c>
      <c r="H11" s="4" t="n">
        <v>2665.753172222281</v>
      </c>
      <c r="I11" s="4" t="n">
        <v>2674.559808925224</v>
      </c>
      <c r="J11" s="4" t="n">
        <v>2672.343005903517</v>
      </c>
      <c r="K11" s="4" t="n">
        <v>2327.481202897155</v>
      </c>
      <c r="L11" s="4" t="n">
        <v>2670.27877757808</v>
      </c>
      <c r="M11" s="4" t="n">
        <v>2421.797476596912</v>
      </c>
      <c r="N11" s="4" t="n">
        <v>2302.871047487976</v>
      </c>
      <c r="O11" s="4" t="n">
        <v>2409.350139281543</v>
      </c>
      <c r="P11" s="4" t="n">
        <v>2411.121194395843</v>
      </c>
      <c r="Q11" s="4" t="n">
        <v>2305.536865688045</v>
      </c>
      <c r="R11" s="4" t="n">
        <v>2334.25484550512</v>
      </c>
      <c r="S11" s="4" t="n">
        <v>2681.640539667023</v>
      </c>
      <c r="T11" s="4" t="n">
        <v>2359.349435695414</v>
      </c>
      <c r="U11" s="4" t="n">
        <v>2319.874873711154</v>
      </c>
      <c r="V11" s="4" t="n">
        <v>2317.415292728092</v>
      </c>
      <c r="W11" s="4" t="n">
        <v>2305.038936251933</v>
      </c>
      <c r="X11" s="4" t="n">
        <v>2310.727902101934</v>
      </c>
      <c r="Y11" s="4" t="n">
        <v>2316.132023140364</v>
      </c>
      <c r="Z11" s="4" t="n">
        <v>2667.747856662822</v>
      </c>
      <c r="AA11" s="4" t="n">
        <v>2322.398190164991</v>
      </c>
      <c r="AB11" s="4" t="n">
        <v>2326.823043542389</v>
      </c>
      <c r="AC11" s="4" t="n">
        <v>2672.317966665526</v>
      </c>
      <c r="AD11" s="4" t="n">
        <v>2671.930704606089</v>
      </c>
      <c r="AE11" s="4" t="n">
        <v>2318.533607924516</v>
      </c>
      <c r="AF11" s="14">
        <f>AVERAGE(B11:AE11)</f>
        <v/>
      </c>
      <c r="AG11" s="14">
        <f>STDEV(B11:AE11)</f>
        <v/>
      </c>
      <c r="AH11" s="14">
        <f>MIN(B11:AE11)</f>
        <v/>
      </c>
      <c r="AI11" s="14">
        <f>MAX(B11:AE11)</f>
        <v/>
      </c>
    </row>
    <row r="12">
      <c r="A12" s="15" t="inlineStr">
        <is>
          <t>F10 - Composition 2</t>
        </is>
      </c>
      <c r="B12" s="8" t="n">
        <v>2625.839377303151</v>
      </c>
      <c r="C12" s="8" t="n">
        <v>2629.010688572572</v>
      </c>
      <c r="D12" s="8" t="n">
        <v>2625.839276584403</v>
      </c>
      <c r="E12" s="8" t="n">
        <v>2632.180399576212</v>
      </c>
      <c r="F12" s="8" t="n">
        <v>2626.402067183656</v>
      </c>
      <c r="G12" s="8" t="n">
        <v>2737.461861643262</v>
      </c>
      <c r="H12" s="8" t="n">
        <v>2630.996465722446</v>
      </c>
      <c r="I12" s="8" t="n">
        <v>2628.901532541812</v>
      </c>
      <c r="J12" s="8" t="n">
        <v>2634.483952592561</v>
      </c>
      <c r="K12" s="8" t="n">
        <v>2627.272133900254</v>
      </c>
      <c r="L12" s="8" t="n">
        <v>2628.449906614619</v>
      </c>
      <c r="M12" s="8" t="n">
        <v>2630.177721742218</v>
      </c>
      <c r="N12" s="8" t="n">
        <v>2625.127641988157</v>
      </c>
      <c r="O12" s="8" t="n">
        <v>2631.07025577392</v>
      </c>
      <c r="P12" s="8" t="n">
        <v>2623.53382738762</v>
      </c>
      <c r="Q12" s="8" t="n">
        <v>2628.195324481413</v>
      </c>
      <c r="R12" s="8" t="n">
        <v>2623.397645309722</v>
      </c>
      <c r="S12" s="8" t="n">
        <v>2635.280541765062</v>
      </c>
      <c r="T12" s="8" t="n">
        <v>2628.654844921918</v>
      </c>
      <c r="U12" s="8" t="n">
        <v>2634.372607368021</v>
      </c>
      <c r="V12" s="8" t="n">
        <v>2631.050084965285</v>
      </c>
      <c r="W12" s="8" t="n">
        <v>2624.425300277951</v>
      </c>
      <c r="X12" s="8" t="n">
        <v>2627.555390842258</v>
      </c>
      <c r="Y12" s="8" t="n">
        <v>2627.856231510575</v>
      </c>
      <c r="Z12" s="8" t="n">
        <v>2625.841875216235</v>
      </c>
      <c r="AA12" s="8" t="n">
        <v>2621.912955919088</v>
      </c>
      <c r="AB12" s="8" t="n">
        <v>2626.308454694314</v>
      </c>
      <c r="AC12" s="8" t="n">
        <v>2628.947654450276</v>
      </c>
      <c r="AD12" s="8" t="n">
        <v>2626.339511163158</v>
      </c>
      <c r="AE12" s="8" t="n">
        <v>2623.0135603188</v>
      </c>
      <c r="AF12" s="14">
        <f>AVERAGE(B12:AE12)</f>
        <v/>
      </c>
      <c r="AG12" s="14">
        <f>STDEV(B12:AE12)</f>
        <v/>
      </c>
      <c r="AH12" s="14">
        <f>MIN(B12:AE12)</f>
        <v/>
      </c>
      <c r="AI12" s="14">
        <f>MAX(B12:AE12)</f>
        <v/>
      </c>
    </row>
    <row r="13">
      <c r="A13" s="13" t="inlineStr">
        <is>
          <t>F11 - Composition 3</t>
        </is>
      </c>
      <c r="B13" s="4" t="n">
        <v>2604.647729136572</v>
      </c>
      <c r="C13" s="4" t="n">
        <v>2602.201621309162</v>
      </c>
      <c r="D13" s="4" t="n">
        <v>2613.465606203702</v>
      </c>
      <c r="E13" s="4" t="n">
        <v>2601.579168598673</v>
      </c>
      <c r="F13" s="4" t="n">
        <v>2603.512920107592</v>
      </c>
      <c r="G13" s="4" t="n">
        <v>2601.92736003792</v>
      </c>
      <c r="H13" s="4" t="n">
        <v>2604.234153926723</v>
      </c>
      <c r="I13" s="4" t="n">
        <v>2602.399703249465</v>
      </c>
      <c r="J13" s="4" t="n">
        <v>2602.270115951309</v>
      </c>
      <c r="K13" s="4" t="n">
        <v>2603.493745892476</v>
      </c>
      <c r="L13" s="4" t="n">
        <v>2601.815926763052</v>
      </c>
      <c r="M13" s="4" t="n">
        <v>2603.147824949659</v>
      </c>
      <c r="N13" s="4" t="n">
        <v>2602.726278405997</v>
      </c>
      <c r="O13" s="4" t="n">
        <v>2602.255836092423</v>
      </c>
      <c r="P13" s="4" t="n">
        <v>2602.818496703191</v>
      </c>
      <c r="Q13" s="4" t="n">
        <v>2601.288679680151</v>
      </c>
      <c r="R13" s="4" t="n">
        <v>2602.563463329616</v>
      </c>
      <c r="S13" s="4" t="n">
        <v>2602.360824332865</v>
      </c>
      <c r="T13" s="4" t="n">
        <v>2601.921094243339</v>
      </c>
      <c r="U13" s="4" t="n">
        <v>2601.199086919918</v>
      </c>
      <c r="V13" s="4" t="n">
        <v>2601.900123894163</v>
      </c>
      <c r="W13" s="4" t="n">
        <v>2602.37238206398</v>
      </c>
      <c r="X13" s="4" t="n">
        <v>2602.594252302787</v>
      </c>
      <c r="Y13" s="4" t="n">
        <v>2602.162079417319</v>
      </c>
      <c r="Z13" s="4" t="n">
        <v>2605.462670575364</v>
      </c>
      <c r="AA13" s="4" t="n">
        <v>2603.436705862912</v>
      </c>
      <c r="AB13" s="4" t="n">
        <v>2602.93919696585</v>
      </c>
      <c r="AC13" s="4" t="n">
        <v>2601.73810793314</v>
      </c>
      <c r="AD13" s="4" t="n">
        <v>2606.450423813315</v>
      </c>
      <c r="AE13" s="4" t="n">
        <v>2601.963628617792</v>
      </c>
      <c r="AF13" s="14">
        <f>AVERAGE(B13:AE13)</f>
        <v/>
      </c>
      <c r="AG13" s="14">
        <f>STDEV(B13:AE13)</f>
        <v/>
      </c>
      <c r="AH13" s="14">
        <f>MIN(B13:AE13)</f>
        <v/>
      </c>
      <c r="AI13" s="14">
        <f>MAX(B13:AE13)</f>
        <v/>
      </c>
    </row>
    <row r="14">
      <c r="A14" s="15" t="inlineStr">
        <is>
          <t>F12 - Composition 4</t>
        </is>
      </c>
      <c r="B14" s="8" t="n">
        <v>2869.999982707491</v>
      </c>
      <c r="C14" s="8" t="n">
        <v>2868.990438867067</v>
      </c>
      <c r="D14" s="8" t="n">
        <v>2868.739160756363</v>
      </c>
      <c r="E14" s="8" t="n">
        <v>2870.734017179998</v>
      </c>
      <c r="F14" s="8" t="n">
        <v>2871.287601259388</v>
      </c>
      <c r="G14" s="8" t="n">
        <v>2868.143057043623</v>
      </c>
      <c r="H14" s="8" t="n">
        <v>2869.720557239706</v>
      </c>
      <c r="I14" s="8" t="n">
        <v>2869.029717878817</v>
      </c>
      <c r="J14" s="8" t="n">
        <v>2868.964296278296</v>
      </c>
      <c r="K14" s="8" t="n">
        <v>2868.580526213833</v>
      </c>
      <c r="L14" s="8" t="n">
        <v>2869.030845284196</v>
      </c>
      <c r="M14" s="8" t="n">
        <v>2871.642573487779</v>
      </c>
      <c r="N14" s="8" t="n">
        <v>2869.376062935909</v>
      </c>
      <c r="O14" s="8" t="n">
        <v>2871.351357263054</v>
      </c>
      <c r="P14" s="8" t="n">
        <v>2871.569709361844</v>
      </c>
      <c r="Q14" s="8" t="n">
        <v>2868.955090150477</v>
      </c>
      <c r="R14" s="8" t="n">
        <v>2868.081853085628</v>
      </c>
      <c r="S14" s="8" t="n">
        <v>2871.351606032794</v>
      </c>
      <c r="T14" s="8" t="n">
        <v>2871.177684909105</v>
      </c>
      <c r="U14" s="8" t="n">
        <v>2869.007085234019</v>
      </c>
      <c r="V14" s="8" t="n">
        <v>2870.775450636919</v>
      </c>
      <c r="W14" s="8" t="n">
        <v>2868.48737835962</v>
      </c>
      <c r="X14" s="8" t="n">
        <v>2871.351697434598</v>
      </c>
      <c r="Y14" s="8" t="n">
        <v>2871.559404910815</v>
      </c>
      <c r="Z14" s="8" t="n">
        <v>2867.579574221299</v>
      </c>
      <c r="AA14" s="8" t="n">
        <v>2868.274288564655</v>
      </c>
      <c r="AB14" s="8" t="n">
        <v>2869.037450153248</v>
      </c>
      <c r="AC14" s="8" t="n">
        <v>2868.335676212138</v>
      </c>
      <c r="AD14" s="8" t="n">
        <v>2866.483286660208</v>
      </c>
      <c r="AE14" s="8" t="n">
        <v>2868.413950620889</v>
      </c>
      <c r="AF14" s="14">
        <f>AVERAGE(B14:AE14)</f>
        <v/>
      </c>
      <c r="AG14" s="14">
        <f>STDEV(B14:AE14)</f>
        <v/>
      </c>
      <c r="AH14" s="14">
        <f>MIN(B14:AE14)</f>
        <v/>
      </c>
      <c r="AI14" s="14">
        <f>MAX(B14:AE14)</f>
        <v/>
      </c>
    </row>
  </sheetData>
  <mergeCells count="1"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 ht="24" customHeight="1">
      <c r="A1" s="1" t="inlineStr">
        <is>
          <t>Raw Run Results — CEC 2022 (D=20) — 30 Independent Runs</t>
        </is>
      </c>
    </row>
    <row r="2" ht="20" customHeight="1">
      <c r="A2" s="2" t="inlineStr">
        <is>
          <t>Function</t>
        </is>
      </c>
      <c r="B2" s="2" t="inlineStr">
        <is>
          <t>Run 1</t>
        </is>
      </c>
      <c r="C2" s="2" t="inlineStr">
        <is>
          <t>Run 2</t>
        </is>
      </c>
      <c r="D2" s="2" t="inlineStr">
        <is>
          <t>Run 3</t>
        </is>
      </c>
      <c r="E2" s="2" t="inlineStr">
        <is>
          <t>Run 4</t>
        </is>
      </c>
      <c r="F2" s="2" t="inlineStr">
        <is>
          <t>Run 5</t>
        </is>
      </c>
      <c r="G2" s="2" t="inlineStr">
        <is>
          <t>Run 6</t>
        </is>
      </c>
      <c r="H2" s="2" t="inlineStr">
        <is>
          <t>Run 7</t>
        </is>
      </c>
      <c r="I2" s="2" t="inlineStr">
        <is>
          <t>Run 8</t>
        </is>
      </c>
      <c r="J2" s="2" t="inlineStr">
        <is>
          <t>Run 9</t>
        </is>
      </c>
      <c r="K2" s="2" t="inlineStr">
        <is>
          <t>Run 10</t>
        </is>
      </c>
      <c r="L2" s="2" t="inlineStr">
        <is>
          <t>Run 11</t>
        </is>
      </c>
      <c r="M2" s="2" t="inlineStr">
        <is>
          <t>Run 12</t>
        </is>
      </c>
      <c r="N2" s="2" t="inlineStr">
        <is>
          <t>Run 13</t>
        </is>
      </c>
      <c r="O2" s="2" t="inlineStr">
        <is>
          <t>Run 14</t>
        </is>
      </c>
      <c r="P2" s="2" t="inlineStr">
        <is>
          <t>Run 15</t>
        </is>
      </c>
      <c r="Q2" s="2" t="inlineStr">
        <is>
          <t>Run 16</t>
        </is>
      </c>
      <c r="R2" s="2" t="inlineStr">
        <is>
          <t>Run 17</t>
        </is>
      </c>
      <c r="S2" s="2" t="inlineStr">
        <is>
          <t>Run 18</t>
        </is>
      </c>
      <c r="T2" s="2" t="inlineStr">
        <is>
          <t>Run 19</t>
        </is>
      </c>
      <c r="U2" s="2" t="inlineStr">
        <is>
          <t>Run 20</t>
        </is>
      </c>
      <c r="V2" s="2" t="inlineStr">
        <is>
          <t>Run 21</t>
        </is>
      </c>
      <c r="W2" s="2" t="inlineStr">
        <is>
          <t>Run 22</t>
        </is>
      </c>
      <c r="X2" s="2" t="inlineStr">
        <is>
          <t>Run 23</t>
        </is>
      </c>
      <c r="Y2" s="2" t="inlineStr">
        <is>
          <t>Run 24</t>
        </is>
      </c>
      <c r="Z2" s="2" t="inlineStr">
        <is>
          <t>Run 25</t>
        </is>
      </c>
      <c r="AA2" s="2" t="inlineStr">
        <is>
          <t>Run 26</t>
        </is>
      </c>
      <c r="AB2" s="2" t="inlineStr">
        <is>
          <t>Run 27</t>
        </is>
      </c>
      <c r="AC2" s="2" t="inlineStr">
        <is>
          <t>Run 28</t>
        </is>
      </c>
      <c r="AD2" s="2" t="inlineStr">
        <is>
          <t>Run 29</t>
        </is>
      </c>
      <c r="AE2" s="2" t="inlineStr">
        <is>
          <t>Run 30</t>
        </is>
      </c>
      <c r="AF2" s="2" t="inlineStr">
        <is>
          <t>Mean</t>
        </is>
      </c>
      <c r="AG2" s="2" t="inlineStr">
        <is>
          <t>Std</t>
        </is>
      </c>
      <c r="AH2" s="2" t="inlineStr">
        <is>
          <t>Best</t>
        </is>
      </c>
      <c r="AI2" s="2" t="inlineStr">
        <is>
          <t>Worst</t>
        </is>
      </c>
    </row>
    <row r="3">
      <c r="A3" s="13" t="inlineStr">
        <is>
          <t>F1 - Zakharov</t>
        </is>
      </c>
      <c r="B3" s="4" t="n">
        <v/>
      </c>
      <c r="C3" s="4" t="n">
        <v/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n">
        <v/>
      </c>
      <c r="V3" s="4" t="n">
        <v/>
      </c>
      <c r="W3" s="4" t="n">
        <v/>
      </c>
      <c r="X3" s="4" t="n">
        <v/>
      </c>
      <c r="Y3" s="4" t="n">
        <v/>
      </c>
      <c r="Z3" s="4" t="n">
        <v/>
      </c>
      <c r="AA3" s="4" t="n">
        <v/>
      </c>
      <c r="AB3" s="4" t="n">
        <v/>
      </c>
      <c r="AC3" s="4" t="n">
        <v/>
      </c>
      <c r="AD3" s="4" t="n">
        <v/>
      </c>
      <c r="AE3" s="4" t="n">
        <v/>
      </c>
      <c r="AF3" s="14">
        <f>AVERAGE(B3:AE3)</f>
        <v/>
      </c>
      <c r="AG3" s="14">
        <f>STDEV(B3:AE3)</f>
        <v/>
      </c>
      <c r="AH3" s="14">
        <f>MIN(B3:AE3)</f>
        <v/>
      </c>
      <c r="AI3" s="14">
        <f>MAX(B3:AE3)</f>
        <v/>
      </c>
    </row>
    <row r="4">
      <c r="A4" s="15" t="inlineStr">
        <is>
          <t>F2 - Rosenbrock</t>
        </is>
      </c>
      <c r="B4" s="8" t="n">
        <v/>
      </c>
      <c r="C4" s="8" t="n">
        <v/>
      </c>
      <c r="D4" s="8" t="n">
        <v/>
      </c>
      <c r="E4" s="8" t="n">
        <v/>
      </c>
      <c r="F4" s="8" t="n">
        <v/>
      </c>
      <c r="G4" s="8" t="n">
        <v/>
      </c>
      <c r="H4" s="8" t="n">
        <v/>
      </c>
      <c r="I4" s="8" t="n">
        <v/>
      </c>
      <c r="J4" s="8" t="n">
        <v/>
      </c>
      <c r="K4" s="8" t="n">
        <v/>
      </c>
      <c r="L4" s="8" t="n">
        <v/>
      </c>
      <c r="M4" s="8" t="n">
        <v/>
      </c>
      <c r="N4" s="8" t="n">
        <v/>
      </c>
      <c r="O4" s="8" t="n">
        <v/>
      </c>
      <c r="P4" s="8" t="n">
        <v/>
      </c>
      <c r="Q4" s="8" t="n">
        <v/>
      </c>
      <c r="R4" s="8" t="n">
        <v/>
      </c>
      <c r="S4" s="8" t="n">
        <v/>
      </c>
      <c r="T4" s="8" t="n">
        <v/>
      </c>
      <c r="U4" s="8" t="n">
        <v/>
      </c>
      <c r="V4" s="8" t="n">
        <v/>
      </c>
      <c r="W4" s="8" t="n">
        <v/>
      </c>
      <c r="X4" s="8" t="n">
        <v/>
      </c>
      <c r="Y4" s="8" t="n">
        <v/>
      </c>
      <c r="Z4" s="8" t="n">
        <v/>
      </c>
      <c r="AA4" s="8" t="n">
        <v/>
      </c>
      <c r="AB4" s="8" t="n">
        <v/>
      </c>
      <c r="AC4" s="8" t="n">
        <v/>
      </c>
      <c r="AD4" s="8" t="n">
        <v/>
      </c>
      <c r="AE4" s="8" t="n">
        <v/>
      </c>
      <c r="AF4" s="14">
        <f>AVERAGE(B4:AE4)</f>
        <v/>
      </c>
      <c r="AG4" s="14">
        <f>STDEV(B4:AE4)</f>
        <v/>
      </c>
      <c r="AH4" s="14">
        <f>MIN(B4:AE4)</f>
        <v/>
      </c>
      <c r="AI4" s="14">
        <f>MAX(B4:AE4)</f>
        <v/>
      </c>
    </row>
    <row r="5">
      <c r="A5" s="13" t="inlineStr">
        <is>
          <t>F3 - Schaffer f6</t>
        </is>
      </c>
      <c r="B5" s="4" t="n">
        <v/>
      </c>
      <c r="C5" s="4" t="n">
        <v/>
      </c>
      <c r="D5" s="4" t="n">
        <v/>
      </c>
      <c r="E5" s="4" t="n">
        <v/>
      </c>
      <c r="F5" s="4" t="n">
        <v/>
      </c>
      <c r="G5" s="4" t="n">
        <v/>
      </c>
      <c r="H5" s="4" t="n">
        <v/>
      </c>
      <c r="I5" s="4" t="n">
        <v/>
      </c>
      <c r="J5" s="4" t="n">
        <v/>
      </c>
      <c r="K5" s="4" t="n">
        <v/>
      </c>
      <c r="L5" s="4" t="n">
        <v/>
      </c>
      <c r="M5" s="4" t="n">
        <v/>
      </c>
      <c r="N5" s="4" t="n">
        <v/>
      </c>
      <c r="O5" s="4" t="n">
        <v/>
      </c>
      <c r="P5" s="4" t="n">
        <v/>
      </c>
      <c r="Q5" s="4" t="n">
        <v/>
      </c>
      <c r="R5" s="4" t="n">
        <v/>
      </c>
      <c r="S5" s="4" t="n">
        <v/>
      </c>
      <c r="T5" s="4" t="n">
        <v/>
      </c>
      <c r="U5" s="4" t="n">
        <v/>
      </c>
      <c r="V5" s="4" t="n">
        <v/>
      </c>
      <c r="W5" s="4" t="n">
        <v/>
      </c>
      <c r="X5" s="4" t="n">
        <v/>
      </c>
      <c r="Y5" s="4" t="n">
        <v/>
      </c>
      <c r="Z5" s="4" t="n">
        <v/>
      </c>
      <c r="AA5" s="4" t="n">
        <v/>
      </c>
      <c r="AB5" s="4" t="n">
        <v/>
      </c>
      <c r="AC5" s="4" t="n">
        <v/>
      </c>
      <c r="AD5" s="4" t="n">
        <v/>
      </c>
      <c r="AE5" s="4" t="n">
        <v/>
      </c>
      <c r="AF5" s="14">
        <f>AVERAGE(B5:AE5)</f>
        <v/>
      </c>
      <c r="AG5" s="14">
        <f>STDEV(B5:AE5)</f>
        <v/>
      </c>
      <c r="AH5" s="14">
        <f>MIN(B5:AE5)</f>
        <v/>
      </c>
      <c r="AI5" s="14">
        <f>MAX(B5:AE5)</f>
        <v/>
      </c>
    </row>
    <row r="6">
      <c r="A6" s="15" t="inlineStr">
        <is>
          <t>F4 - Rastrigin</t>
        </is>
      </c>
      <c r="B6" s="8" t="n">
        <v/>
      </c>
      <c r="C6" s="8" t="n">
        <v/>
      </c>
      <c r="D6" s="8" t="n">
        <v/>
      </c>
      <c r="E6" s="8" t="n">
        <v/>
      </c>
      <c r="F6" s="8" t="n">
        <v/>
      </c>
      <c r="G6" s="8" t="n">
        <v/>
      </c>
      <c r="H6" s="8" t="n">
        <v/>
      </c>
      <c r="I6" s="8" t="n">
        <v/>
      </c>
      <c r="J6" s="8" t="n">
        <v/>
      </c>
      <c r="K6" s="8" t="n">
        <v/>
      </c>
      <c r="L6" s="8" t="n">
        <v/>
      </c>
      <c r="M6" s="8" t="n">
        <v/>
      </c>
      <c r="N6" s="8" t="n">
        <v/>
      </c>
      <c r="O6" s="8" t="n">
        <v/>
      </c>
      <c r="P6" s="8" t="n">
        <v/>
      </c>
      <c r="Q6" s="8" t="n">
        <v/>
      </c>
      <c r="R6" s="8" t="n">
        <v/>
      </c>
      <c r="S6" s="8" t="n">
        <v/>
      </c>
      <c r="T6" s="8" t="n">
        <v/>
      </c>
      <c r="U6" s="8" t="n">
        <v/>
      </c>
      <c r="V6" s="8" t="n">
        <v/>
      </c>
      <c r="W6" s="8" t="n">
        <v/>
      </c>
      <c r="X6" s="8" t="n">
        <v/>
      </c>
      <c r="Y6" s="8" t="n">
        <v/>
      </c>
      <c r="Z6" s="8" t="n">
        <v/>
      </c>
      <c r="AA6" s="8" t="n">
        <v/>
      </c>
      <c r="AB6" s="8" t="n">
        <v/>
      </c>
      <c r="AC6" s="8" t="n">
        <v/>
      </c>
      <c r="AD6" s="8" t="n">
        <v/>
      </c>
      <c r="AE6" s="8" t="n">
        <v/>
      </c>
      <c r="AF6" s="14">
        <f>AVERAGE(B6:AE6)</f>
        <v/>
      </c>
      <c r="AG6" s="14">
        <f>STDEV(B6:AE6)</f>
        <v/>
      </c>
      <c r="AH6" s="14">
        <f>MIN(B6:AE6)</f>
        <v/>
      </c>
      <c r="AI6" s="14">
        <f>MAX(B6:AE6)</f>
        <v/>
      </c>
    </row>
    <row r="7">
      <c r="A7" s="13" t="inlineStr">
        <is>
          <t>F5 - Levy</t>
        </is>
      </c>
      <c r="B7" s="4" t="n">
        <v/>
      </c>
      <c r="C7" s="4" t="n">
        <v/>
      </c>
      <c r="D7" s="4" t="n">
        <v/>
      </c>
      <c r="E7" s="4" t="n">
        <v/>
      </c>
      <c r="F7" s="4" t="n">
        <v/>
      </c>
      <c r="G7" s="4" t="n">
        <v/>
      </c>
      <c r="H7" s="4" t="n">
        <v/>
      </c>
      <c r="I7" s="4" t="n">
        <v/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n">
        <v/>
      </c>
      <c r="V7" s="4" t="n">
        <v/>
      </c>
      <c r="W7" s="4" t="n">
        <v/>
      </c>
      <c r="X7" s="4" t="n">
        <v/>
      </c>
      <c r="Y7" s="4" t="n">
        <v/>
      </c>
      <c r="Z7" s="4" t="n">
        <v/>
      </c>
      <c r="AA7" s="4" t="n">
        <v/>
      </c>
      <c r="AB7" s="4" t="n">
        <v/>
      </c>
      <c r="AC7" s="4" t="n">
        <v/>
      </c>
      <c r="AD7" s="4" t="n">
        <v/>
      </c>
      <c r="AE7" s="4" t="n">
        <v/>
      </c>
      <c r="AF7" s="14">
        <f>AVERAGE(B7:AE7)</f>
        <v/>
      </c>
      <c r="AG7" s="14">
        <f>STDEV(B7:AE7)</f>
        <v/>
      </c>
      <c r="AH7" s="14">
        <f>MIN(B7:AE7)</f>
        <v/>
      </c>
      <c r="AI7" s="14">
        <f>MAX(B7:AE7)</f>
        <v/>
      </c>
    </row>
    <row r="8">
      <c r="A8" s="15" t="inlineStr">
        <is>
          <t>F6 - Hybrid 1</t>
        </is>
      </c>
      <c r="B8" s="8" t="n">
        <v/>
      </c>
      <c r="C8" s="8" t="n">
        <v/>
      </c>
      <c r="D8" s="8" t="n">
        <v/>
      </c>
      <c r="E8" s="8" t="n">
        <v/>
      </c>
      <c r="F8" s="8" t="n">
        <v/>
      </c>
      <c r="G8" s="8" t="n">
        <v/>
      </c>
      <c r="H8" s="8" t="n">
        <v/>
      </c>
      <c r="I8" s="8" t="n">
        <v/>
      </c>
      <c r="J8" s="8" t="n">
        <v/>
      </c>
      <c r="K8" s="8" t="n">
        <v/>
      </c>
      <c r="L8" s="8" t="n">
        <v/>
      </c>
      <c r="M8" s="8" t="n">
        <v/>
      </c>
      <c r="N8" s="8" t="n">
        <v/>
      </c>
      <c r="O8" s="8" t="n">
        <v/>
      </c>
      <c r="P8" s="8" t="n">
        <v/>
      </c>
      <c r="Q8" s="8" t="n">
        <v/>
      </c>
      <c r="R8" s="8" t="n">
        <v/>
      </c>
      <c r="S8" s="8" t="n">
        <v/>
      </c>
      <c r="T8" s="8" t="n">
        <v/>
      </c>
      <c r="U8" s="8" t="n">
        <v/>
      </c>
      <c r="V8" s="8" t="n">
        <v/>
      </c>
      <c r="W8" s="8" t="n">
        <v/>
      </c>
      <c r="X8" s="8" t="n">
        <v/>
      </c>
      <c r="Y8" s="8" t="n">
        <v/>
      </c>
      <c r="Z8" s="8" t="n">
        <v/>
      </c>
      <c r="AA8" s="8" t="n">
        <v/>
      </c>
      <c r="AB8" s="8" t="n">
        <v/>
      </c>
      <c r="AC8" s="8" t="n">
        <v/>
      </c>
      <c r="AD8" s="8" t="n">
        <v/>
      </c>
      <c r="AE8" s="8" t="n">
        <v/>
      </c>
      <c r="AF8" s="14">
        <f>AVERAGE(B8:AE8)</f>
        <v/>
      </c>
      <c r="AG8" s="14">
        <f>STDEV(B8:AE8)</f>
        <v/>
      </c>
      <c r="AH8" s="14">
        <f>MIN(B8:AE8)</f>
        <v/>
      </c>
      <c r="AI8" s="14">
        <f>MAX(B8:AE8)</f>
        <v/>
      </c>
    </row>
    <row r="9">
      <c r="A9" s="13" t="inlineStr">
        <is>
          <t>F7 - Hybrid 2</t>
        </is>
      </c>
      <c r="B9" s="4" t="n">
        <v/>
      </c>
      <c r="C9" s="4" t="n">
        <v/>
      </c>
      <c r="D9" s="4" t="n">
        <v/>
      </c>
      <c r="E9" s="4" t="n">
        <v/>
      </c>
      <c r="F9" s="4" t="n">
        <v/>
      </c>
      <c r="G9" s="4" t="n">
        <v/>
      </c>
      <c r="H9" s="4" t="n">
        <v/>
      </c>
      <c r="I9" s="4" t="n">
        <v/>
      </c>
      <c r="J9" s="4" t="n">
        <v/>
      </c>
      <c r="K9" s="4" t="n">
        <v/>
      </c>
      <c r="L9" s="4" t="n">
        <v/>
      </c>
      <c r="M9" s="4" t="n">
        <v/>
      </c>
      <c r="N9" s="4" t="n">
        <v/>
      </c>
      <c r="O9" s="4" t="n">
        <v/>
      </c>
      <c r="P9" s="4" t="n">
        <v/>
      </c>
      <c r="Q9" s="4" t="n">
        <v/>
      </c>
      <c r="R9" s="4" t="n">
        <v/>
      </c>
      <c r="S9" s="4" t="n">
        <v/>
      </c>
      <c r="T9" s="4" t="n">
        <v/>
      </c>
      <c r="U9" s="4" t="n">
        <v/>
      </c>
      <c r="V9" s="4" t="n">
        <v/>
      </c>
      <c r="W9" s="4" t="n">
        <v/>
      </c>
      <c r="X9" s="4" t="n">
        <v/>
      </c>
      <c r="Y9" s="4" t="n">
        <v/>
      </c>
      <c r="Z9" s="4" t="n">
        <v/>
      </c>
      <c r="AA9" s="4" t="n">
        <v/>
      </c>
      <c r="AB9" s="4" t="n">
        <v/>
      </c>
      <c r="AC9" s="4" t="n">
        <v/>
      </c>
      <c r="AD9" s="4" t="n">
        <v/>
      </c>
      <c r="AE9" s="4" t="n">
        <v/>
      </c>
      <c r="AF9" s="14">
        <f>AVERAGE(B9:AE9)</f>
        <v/>
      </c>
      <c r="AG9" s="14">
        <f>STDEV(B9:AE9)</f>
        <v/>
      </c>
      <c r="AH9" s="14">
        <f>MIN(B9:AE9)</f>
        <v/>
      </c>
      <c r="AI9" s="14">
        <f>MAX(B9:AE9)</f>
        <v/>
      </c>
    </row>
    <row r="10">
      <c r="A10" s="15" t="inlineStr">
        <is>
          <t>F8 - Hybrid 3</t>
        </is>
      </c>
      <c r="B10" s="8" t="n">
        <v/>
      </c>
      <c r="C10" s="8" t="n">
        <v/>
      </c>
      <c r="D10" s="8" t="n">
        <v/>
      </c>
      <c r="E10" s="8" t="n">
        <v/>
      </c>
      <c r="F10" s="8" t="n">
        <v/>
      </c>
      <c r="G10" s="8" t="n">
        <v/>
      </c>
      <c r="H10" s="8" t="n">
        <v/>
      </c>
      <c r="I10" s="8" t="n">
        <v/>
      </c>
      <c r="J10" s="8" t="n">
        <v/>
      </c>
      <c r="K10" s="8" t="n">
        <v/>
      </c>
      <c r="L10" s="8" t="n">
        <v/>
      </c>
      <c r="M10" s="8" t="n">
        <v/>
      </c>
      <c r="N10" s="8" t="n">
        <v/>
      </c>
      <c r="O10" s="8" t="n">
        <v/>
      </c>
      <c r="P10" s="8" t="n">
        <v/>
      </c>
      <c r="Q10" s="8" t="n">
        <v/>
      </c>
      <c r="R10" s="8" t="n">
        <v/>
      </c>
      <c r="S10" s="8" t="n">
        <v/>
      </c>
      <c r="T10" s="8" t="n">
        <v/>
      </c>
      <c r="U10" s="8" t="n">
        <v/>
      </c>
      <c r="V10" s="8" t="n">
        <v/>
      </c>
      <c r="W10" s="8" t="n">
        <v/>
      </c>
      <c r="X10" s="8" t="n">
        <v/>
      </c>
      <c r="Y10" s="8" t="n">
        <v/>
      </c>
      <c r="Z10" s="8" t="n">
        <v/>
      </c>
      <c r="AA10" s="8" t="n">
        <v/>
      </c>
      <c r="AB10" s="8" t="n">
        <v/>
      </c>
      <c r="AC10" s="8" t="n">
        <v/>
      </c>
      <c r="AD10" s="8" t="n">
        <v/>
      </c>
      <c r="AE10" s="8" t="n">
        <v/>
      </c>
      <c r="AF10" s="14">
        <f>AVERAGE(B10:AE10)</f>
        <v/>
      </c>
      <c r="AG10" s="14">
        <f>STDEV(B10:AE10)</f>
        <v/>
      </c>
      <c r="AH10" s="14">
        <f>MIN(B10:AE10)</f>
        <v/>
      </c>
      <c r="AI10" s="14">
        <f>MAX(B10:AE10)</f>
        <v/>
      </c>
    </row>
    <row r="11">
      <c r="A11" s="13" t="inlineStr">
        <is>
          <t>F9 - Composition 1</t>
        </is>
      </c>
      <c r="B11" s="4" t="n">
        <v/>
      </c>
      <c r="C11" s="4" t="n">
        <v/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n">
        <v/>
      </c>
      <c r="P11" s="4" t="n">
        <v/>
      </c>
      <c r="Q11" s="4" t="n">
        <v/>
      </c>
      <c r="R11" s="4" t="n">
        <v/>
      </c>
      <c r="S11" s="4" t="n">
        <v/>
      </c>
      <c r="T11" s="4" t="n">
        <v/>
      </c>
      <c r="U11" s="4" t="n">
        <v/>
      </c>
      <c r="V11" s="4" t="n">
        <v/>
      </c>
      <c r="W11" s="4" t="n">
        <v/>
      </c>
      <c r="X11" s="4" t="n">
        <v/>
      </c>
      <c r="Y11" s="4" t="n">
        <v/>
      </c>
      <c r="Z11" s="4" t="n">
        <v/>
      </c>
      <c r="AA11" s="4" t="n">
        <v/>
      </c>
      <c r="AB11" s="4" t="n">
        <v/>
      </c>
      <c r="AC11" s="4" t="n">
        <v/>
      </c>
      <c r="AD11" s="4" t="n">
        <v/>
      </c>
      <c r="AE11" s="4" t="n">
        <v/>
      </c>
      <c r="AF11" s="14">
        <f>AVERAGE(B11:AE11)</f>
        <v/>
      </c>
      <c r="AG11" s="14">
        <f>STDEV(B11:AE11)</f>
        <v/>
      </c>
      <c r="AH11" s="14">
        <f>MIN(B11:AE11)</f>
        <v/>
      </c>
      <c r="AI11" s="14">
        <f>MAX(B11:AE11)</f>
        <v/>
      </c>
    </row>
    <row r="12">
      <c r="A12" s="15" t="inlineStr">
        <is>
          <t>F10 - Composition 2</t>
        </is>
      </c>
      <c r="B12" s="8" t="n">
        <v/>
      </c>
      <c r="C12" s="8" t="n">
        <v/>
      </c>
      <c r="D12" s="8" t="n">
        <v/>
      </c>
      <c r="E12" s="8" t="n">
        <v/>
      </c>
      <c r="F12" s="8" t="n">
        <v/>
      </c>
      <c r="G12" s="8" t="n">
        <v/>
      </c>
      <c r="H12" s="8" t="n">
        <v/>
      </c>
      <c r="I12" s="8" t="n">
        <v/>
      </c>
      <c r="J12" s="8" t="n">
        <v/>
      </c>
      <c r="K12" s="8" t="n">
        <v/>
      </c>
      <c r="L12" s="8" t="n">
        <v/>
      </c>
      <c r="M12" s="8" t="n">
        <v/>
      </c>
      <c r="N12" s="8" t="n">
        <v/>
      </c>
      <c r="O12" s="8" t="n">
        <v/>
      </c>
      <c r="P12" s="8" t="n">
        <v/>
      </c>
      <c r="Q12" s="8" t="n">
        <v/>
      </c>
      <c r="R12" s="8" t="n">
        <v/>
      </c>
      <c r="S12" s="8" t="n">
        <v/>
      </c>
      <c r="T12" s="8" t="n">
        <v/>
      </c>
      <c r="U12" s="8" t="n">
        <v/>
      </c>
      <c r="V12" s="8" t="n">
        <v/>
      </c>
      <c r="W12" s="8" t="n">
        <v/>
      </c>
      <c r="X12" s="8" t="n">
        <v/>
      </c>
      <c r="Y12" s="8" t="n">
        <v/>
      </c>
      <c r="Z12" s="8" t="n">
        <v/>
      </c>
      <c r="AA12" s="8" t="n">
        <v/>
      </c>
      <c r="AB12" s="8" t="n">
        <v/>
      </c>
      <c r="AC12" s="8" t="n">
        <v/>
      </c>
      <c r="AD12" s="8" t="n">
        <v/>
      </c>
      <c r="AE12" s="8" t="n">
        <v/>
      </c>
      <c r="AF12" s="14">
        <f>AVERAGE(B12:AE12)</f>
        <v/>
      </c>
      <c r="AG12" s="14">
        <f>STDEV(B12:AE12)</f>
        <v/>
      </c>
      <c r="AH12" s="14">
        <f>MIN(B12:AE12)</f>
        <v/>
      </c>
      <c r="AI12" s="14">
        <f>MAX(B12:AE12)</f>
        <v/>
      </c>
    </row>
    <row r="13">
      <c r="A13" s="13" t="inlineStr">
        <is>
          <t>F11 - Composition 3</t>
        </is>
      </c>
      <c r="B13" s="4" t="n">
        <v/>
      </c>
      <c r="C13" s="4" t="n">
        <v/>
      </c>
      <c r="D13" s="4" t="n">
        <v/>
      </c>
      <c r="E13" s="4" t="n">
        <v/>
      </c>
      <c r="F13" s="4" t="n">
        <v/>
      </c>
      <c r="G13" s="4" t="n">
        <v/>
      </c>
      <c r="H13" s="4" t="n">
        <v/>
      </c>
      <c r="I13" s="4" t="n">
        <v/>
      </c>
      <c r="J13" s="4" t="n">
        <v/>
      </c>
      <c r="K13" s="4" t="n">
        <v/>
      </c>
      <c r="L13" s="4" t="n">
        <v/>
      </c>
      <c r="M13" s="4" t="n">
        <v/>
      </c>
      <c r="N13" s="4" t="n">
        <v/>
      </c>
      <c r="O13" s="4" t="n">
        <v/>
      </c>
      <c r="P13" s="4" t="n">
        <v/>
      </c>
      <c r="Q13" s="4" t="n">
        <v/>
      </c>
      <c r="R13" s="4" t="n">
        <v/>
      </c>
      <c r="S13" s="4" t="n">
        <v/>
      </c>
      <c r="T13" s="4" t="n">
        <v/>
      </c>
      <c r="U13" s="4" t="n">
        <v/>
      </c>
      <c r="V13" s="4" t="n">
        <v/>
      </c>
      <c r="W13" s="4" t="n">
        <v/>
      </c>
      <c r="X13" s="4" t="n">
        <v/>
      </c>
      <c r="Y13" s="4" t="n">
        <v/>
      </c>
      <c r="Z13" s="4" t="n">
        <v/>
      </c>
      <c r="AA13" s="4" t="n">
        <v/>
      </c>
      <c r="AB13" s="4" t="n">
        <v/>
      </c>
      <c r="AC13" s="4" t="n">
        <v/>
      </c>
      <c r="AD13" s="4" t="n">
        <v/>
      </c>
      <c r="AE13" s="4" t="n">
        <v/>
      </c>
      <c r="AF13" s="14">
        <f>AVERAGE(B13:AE13)</f>
        <v/>
      </c>
      <c r="AG13" s="14">
        <f>STDEV(B13:AE13)</f>
        <v/>
      </c>
      <c r="AH13" s="14">
        <f>MIN(B13:AE13)</f>
        <v/>
      </c>
      <c r="AI13" s="14">
        <f>MAX(B13:AE13)</f>
        <v/>
      </c>
    </row>
    <row r="14">
      <c r="A14" s="15" t="inlineStr">
        <is>
          <t>F12 - Composition 4</t>
        </is>
      </c>
      <c r="B14" s="8" t="n">
        <v/>
      </c>
      <c r="C14" s="8" t="n">
        <v/>
      </c>
      <c r="D14" s="8" t="n">
        <v/>
      </c>
      <c r="E14" s="8" t="n">
        <v/>
      </c>
      <c r="F14" s="8" t="n">
        <v/>
      </c>
      <c r="G14" s="8" t="n">
        <v/>
      </c>
      <c r="H14" s="8" t="n">
        <v/>
      </c>
      <c r="I14" s="8" t="n">
        <v/>
      </c>
      <c r="J14" s="8" t="n">
        <v/>
      </c>
      <c r="K14" s="8" t="n">
        <v/>
      </c>
      <c r="L14" s="8" t="n">
        <v/>
      </c>
      <c r="M14" s="8" t="n">
        <v/>
      </c>
      <c r="N14" s="8" t="n">
        <v/>
      </c>
      <c r="O14" s="8" t="n">
        <v/>
      </c>
      <c r="P14" s="8" t="n">
        <v/>
      </c>
      <c r="Q14" s="8" t="n">
        <v/>
      </c>
      <c r="R14" s="8" t="n">
        <v/>
      </c>
      <c r="S14" s="8" t="n">
        <v/>
      </c>
      <c r="T14" s="8" t="n">
        <v/>
      </c>
      <c r="U14" s="8" t="n">
        <v/>
      </c>
      <c r="V14" s="8" t="n">
        <v/>
      </c>
      <c r="W14" s="8" t="n">
        <v/>
      </c>
      <c r="X14" s="8" t="n">
        <v/>
      </c>
      <c r="Y14" s="8" t="n">
        <v/>
      </c>
      <c r="Z14" s="8" t="n">
        <v/>
      </c>
      <c r="AA14" s="8" t="n">
        <v/>
      </c>
      <c r="AB14" s="8" t="n">
        <v/>
      </c>
      <c r="AC14" s="8" t="n">
        <v/>
      </c>
      <c r="AD14" s="8" t="n">
        <v/>
      </c>
      <c r="AE14" s="8" t="n">
        <v/>
      </c>
      <c r="AF14" s="14">
        <f>AVERAGE(B14:AE14)</f>
        <v/>
      </c>
      <c r="AG14" s="14">
        <f>STDEV(B14:AE14)</f>
        <v/>
      </c>
      <c r="AH14" s="14">
        <f>MIN(B14:AE14)</f>
        <v/>
      </c>
      <c r="AI14" s="14">
        <f>MAX(B14:AE14)</f>
        <v/>
      </c>
    </row>
  </sheetData>
  <mergeCells count="1">
    <mergeCell ref="A1:A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2026-03-17T05:06:05Z</dcterms:created>
  <dcterms:modified xsi:type="dcterms:W3CDTF">2026-03-17T05:06:05Z</dcterms:modified>
</cp:coreProperties>
</file>