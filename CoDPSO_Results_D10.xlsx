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=10 Comparison" sheetId="1" state="visible" r:id="rId1"/>
    <sheet name="D=20 Comparison" sheetId="2" state="visible" r:id="rId2"/>
    <sheet name="Raw Data D=10" sheetId="3" state="visible" r:id="rId3"/>
    <sheet name="Raw Data D=20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</fonts>
  <fills count="9">
    <fill>
      <patternFill/>
    </fill>
    <fill>
      <patternFill patternType="gray125"/>
    </fill>
    <fill>
      <patternFill patternType="solid">
        <fgColor rgb="002F4F8F"/>
        <bgColor rgb="002F4F8F"/>
      </patternFill>
    </fill>
    <fill>
      <patternFill patternType="solid">
        <fgColor rgb="004F81BD"/>
        <bgColor rgb="004F81BD"/>
      </patternFill>
    </fill>
    <fill>
      <patternFill patternType="solid">
        <fgColor rgb="00DCE6F1"/>
        <bgColor rgb="00DCE6F1"/>
      </patternFill>
    </fill>
    <fill>
      <patternFill patternType="solid">
        <fgColor rgb="00FFC7CE"/>
        <bgColor rgb="00FFC7CE"/>
      </patternFill>
    </fill>
    <fill>
      <patternFill patternType="solid">
        <fgColor rgb="00E2EFDA"/>
        <bgColor rgb="00E2EFDA"/>
      </patternFill>
    </fill>
    <fill>
      <patternFill patternType="solid">
        <fgColor rgb="00C6EFCE"/>
        <bgColor rgb="00C6EFCE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11" fontId="2" fillId="4" borderId="1" applyAlignment="1" pivotButton="0" quotePrefix="0" xfId="0">
      <alignment horizontal="center" vertical="center"/>
    </xf>
    <xf numFmtId="11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11" fontId="2" fillId="6" borderId="1" applyAlignment="1" pivotButton="0" quotePrefix="0" xfId="0">
      <alignment horizontal="center" vertical="center"/>
    </xf>
    <xf numFmtId="11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1" fontId="3" fillId="8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8" customWidth="1" min="11" max="11"/>
  </cols>
  <sheetData>
    <row r="1" ht="28" customHeight="1">
      <c r="A1" s="1" t="inlineStr">
        <is>
          <t>CoDPSO Results Comparison — CEC 2022 (D=10)</t>
        </is>
      </c>
    </row>
    <row r="2" ht="22" customHeight="1">
      <c r="A2" s="2" t="inlineStr">
        <is>
          <t>Function</t>
        </is>
      </c>
      <c r="B2" s="2" t="inlineStr">
        <is>
          <t>Paper Mean</t>
        </is>
      </c>
      <c r="C2" s="2" t="inlineStr">
        <is>
          <t>Paper Std</t>
        </is>
      </c>
      <c r="D2" s="2" t="inlineStr">
        <is>
          <t>My Mean</t>
        </is>
      </c>
      <c r="E2" s="2" t="inlineStr">
        <is>
          <t>My Std</t>
        </is>
      </c>
      <c r="F2" s="2" t="inlineStr">
        <is>
          <t>My Best</t>
        </is>
      </c>
      <c r="G2" s="2" t="inlineStr">
        <is>
          <t>My Worst</t>
        </is>
      </c>
      <c r="H2" s="2" t="inlineStr">
        <is>
          <t>Diff (Mean)</t>
        </is>
      </c>
      <c r="I2" s="2" t="inlineStr">
        <is>
          <t>Diff (Std)</t>
        </is>
      </c>
      <c r="J2" s="2" t="inlineStr">
        <is>
          <t>Mean Better?</t>
        </is>
      </c>
      <c r="K2" s="2" t="inlineStr">
        <is>
          <t>Notes</t>
        </is>
      </c>
    </row>
    <row r="3">
      <c r="A3" s="3" t="inlineStr">
        <is>
          <t>F1 - Zakharov</t>
        </is>
      </c>
      <c r="B3" s="4" t="n">
        <v>300</v>
      </c>
      <c r="C3" s="4" t="n">
        <v>0</v>
      </c>
      <c r="D3" s="4" t="n">
        <v>341.2767252782094</v>
      </c>
      <c r="E3" s="4" t="n">
        <v>24.26519444520479</v>
      </c>
      <c r="F3" s="4" t="n">
        <v>301.9143542803455</v>
      </c>
      <c r="G3" s="4" t="n">
        <v>395.9127863568975</v>
      </c>
      <c r="H3" s="5" t="n">
        <v>41.27672527820937</v>
      </c>
      <c r="I3" s="4" t="n">
        <v>24.26519444520479</v>
      </c>
      <c r="J3" s="6" t="inlineStr">
        <is>
          <t>❌ Worse</t>
        </is>
      </c>
      <c r="K3" s="3" t="inlineStr"/>
    </row>
    <row r="4">
      <c r="A4" s="7" t="inlineStr">
        <is>
          <t>F2 - Rosenbrock</t>
        </is>
      </c>
      <c r="B4" s="8" t="n">
        <v>400.78</v>
      </c>
      <c r="C4" s="8" t="n">
        <v>1.95</v>
      </c>
      <c r="D4" s="8" t="n">
        <v>409.0570042477048</v>
      </c>
      <c r="E4" s="8" t="n">
        <v>5.782418012014913</v>
      </c>
      <c r="F4" s="8" t="n">
        <v>401.5352477151633</v>
      </c>
      <c r="G4" s="8" t="n">
        <v>430.018465005009</v>
      </c>
      <c r="H4" s="5" t="n">
        <v>8.277004247704781</v>
      </c>
      <c r="I4" s="8" t="n">
        <v>3.832418012014913</v>
      </c>
      <c r="J4" s="6" t="inlineStr">
        <is>
          <t>❌ Worse</t>
        </is>
      </c>
      <c r="K4" s="7" t="inlineStr"/>
    </row>
    <row r="5">
      <c r="A5" s="3" t="inlineStr">
        <is>
          <t>F3 - Schaffer f6</t>
        </is>
      </c>
      <c r="B5" s="4" t="n">
        <v>600</v>
      </c>
      <c r="C5" s="4" t="n">
        <v>0.00898</v>
      </c>
      <c r="D5" s="4" t="n">
        <v>600.0005312746379</v>
      </c>
      <c r="E5" s="4" t="n">
        <v>0.0002265240092068909</v>
      </c>
      <c r="F5" s="4" t="n">
        <v>600.0001507317784</v>
      </c>
      <c r="G5" s="4" t="n">
        <v>600.0010791176591</v>
      </c>
      <c r="H5" s="5" t="n">
        <v>0.0005312746378649535</v>
      </c>
      <c r="I5" s="4" t="n">
        <v>-0.008753475990793109</v>
      </c>
      <c r="J5" s="6" t="inlineStr">
        <is>
          <t>❌ Worse</t>
        </is>
      </c>
      <c r="K5" s="3" t="inlineStr"/>
    </row>
    <row r="6">
      <c r="A6" s="7" t="inlineStr">
        <is>
          <t>F4 - Rastrigin</t>
        </is>
      </c>
      <c r="B6" s="8" t="n">
        <v>806.83</v>
      </c>
      <c r="C6" s="8" t="n">
        <v>2.67</v>
      </c>
      <c r="D6" s="8" t="n">
        <v>831.0972777942225</v>
      </c>
      <c r="E6" s="8" t="n">
        <v>11.2789593674607</v>
      </c>
      <c r="F6" s="8" t="n">
        <v>816.0001941859394</v>
      </c>
      <c r="G6" s="8" t="n">
        <v>852.0000007805262</v>
      </c>
      <c r="H6" s="5" t="n">
        <v>24.26727779422242</v>
      </c>
      <c r="I6" s="8" t="n">
        <v>8.608959367460701</v>
      </c>
      <c r="J6" s="6" t="inlineStr">
        <is>
          <t>❌ Worse</t>
        </is>
      </c>
      <c r="K6" s="7" t="inlineStr"/>
    </row>
    <row r="7">
      <c r="A7" s="3" t="inlineStr">
        <is>
          <t>F5 - Levy</t>
        </is>
      </c>
      <c r="B7" s="4" t="n">
        <v>900.01</v>
      </c>
      <c r="C7" s="4" t="n">
        <v>0.0413</v>
      </c>
      <c r="D7" s="4" t="n">
        <v>900.1481647637037</v>
      </c>
      <c r="E7" s="4" t="n">
        <v>0.1388866884074056</v>
      </c>
      <c r="F7" s="4" t="n">
        <v>900.0040942381161</v>
      </c>
      <c r="G7" s="4" t="n">
        <v>900.5494548576048</v>
      </c>
      <c r="H7" s="5" t="n">
        <v>0.1381647637036849</v>
      </c>
      <c r="I7" s="4" t="n">
        <v>0.09758668840740564</v>
      </c>
      <c r="J7" s="6" t="inlineStr">
        <is>
          <t>❌ Worse</t>
        </is>
      </c>
      <c r="K7" s="3" t="inlineStr"/>
    </row>
    <row r="8">
      <c r="A8" s="7" t="inlineStr">
        <is>
          <t>F6 - Hybrid 1</t>
        </is>
      </c>
      <c r="B8" s="8" t="n">
        <v>1871.86</v>
      </c>
      <c r="C8" s="8" t="n">
        <v>59.1</v>
      </c>
      <c r="D8" s="8" t="n">
        <v>17481.39541177408</v>
      </c>
      <c r="E8" s="8" t="n">
        <v>6048.262535437532</v>
      </c>
      <c r="F8" s="8" t="n">
        <v>5025.937928620318</v>
      </c>
      <c r="G8" s="8" t="n">
        <v>29691.02286936876</v>
      </c>
      <c r="H8" s="5" t="n">
        <v>15609.53541177408</v>
      </c>
      <c r="I8" s="8" t="n">
        <v>5989.162535437532</v>
      </c>
      <c r="J8" s="6" t="inlineStr">
        <is>
          <t>❌ Worse</t>
        </is>
      </c>
      <c r="K8" s="7" t="inlineStr"/>
    </row>
    <row r="9">
      <c r="A9" s="3" t="inlineStr">
        <is>
          <t>F7 - Hybrid 2</t>
        </is>
      </c>
      <c r="B9" s="4" t="n">
        <v>2009.35</v>
      </c>
      <c r="C9" s="4" t="n">
        <v>9.66</v>
      </c>
      <c r="D9" s="4" t="n">
        <v>2040.475195562317</v>
      </c>
      <c r="E9" s="4" t="n">
        <v>8.124199473454231</v>
      </c>
      <c r="F9" s="4" t="n">
        <v>2021.013690010596</v>
      </c>
      <c r="G9" s="4" t="n">
        <v>2061.463757656976</v>
      </c>
      <c r="H9" s="5" t="n">
        <v>31.12519556231723</v>
      </c>
      <c r="I9" s="4" t="n">
        <v>-1.535800526545769</v>
      </c>
      <c r="J9" s="6" t="inlineStr">
        <is>
          <t>❌ Worse</t>
        </is>
      </c>
      <c r="K9" s="3" t="inlineStr"/>
    </row>
    <row r="10">
      <c r="A10" s="7" t="inlineStr">
        <is>
          <t>F8 - Hybrid 3</t>
        </is>
      </c>
      <c r="B10" s="8" t="n">
        <v>2210.06</v>
      </c>
      <c r="C10" s="8" t="n">
        <v>10</v>
      </c>
      <c r="D10" s="8" t="n">
        <v>2260.669409745225</v>
      </c>
      <c r="E10" s="8" t="n">
        <v>49.3529727926692</v>
      </c>
      <c r="F10" s="8" t="n">
        <v>2227.597503796951</v>
      </c>
      <c r="G10" s="8" t="n">
        <v>2500.679190173065</v>
      </c>
      <c r="H10" s="5" t="n">
        <v>50.60940974522509</v>
      </c>
      <c r="I10" s="8" t="n">
        <v>39.3529727926692</v>
      </c>
      <c r="J10" s="6" t="inlineStr">
        <is>
          <t>❌ Worse</t>
        </is>
      </c>
      <c r="K10" s="7" t="inlineStr"/>
    </row>
    <row r="11">
      <c r="A11" s="3" t="inlineStr">
        <is>
          <t>F9 - Composition 1</t>
        </is>
      </c>
      <c r="B11" s="4" t="n">
        <v>2529.28</v>
      </c>
      <c r="C11" s="4" t="n">
        <v>0</v>
      </c>
      <c r="D11" s="4" t="n">
        <v>2482.559203627215</v>
      </c>
      <c r="E11" s="4" t="n">
        <v>174.95896824201</v>
      </c>
      <c r="F11" s="4" t="n">
        <v>2304.368804120033</v>
      </c>
      <c r="G11" s="4" t="n">
        <v>2736.444970119394</v>
      </c>
      <c r="H11" s="9" t="n">
        <v>-46.72079637278557</v>
      </c>
      <c r="I11" s="4" t="n">
        <v>174.95896824201</v>
      </c>
      <c r="J11" s="10" t="inlineStr">
        <is>
          <t>✅ Better</t>
        </is>
      </c>
      <c r="K11" s="3" t="inlineStr"/>
    </row>
    <row r="12">
      <c r="A12" s="7" t="inlineStr">
        <is>
          <t>F10 - Composition 2</t>
        </is>
      </c>
      <c r="B12" s="8" t="n">
        <v>2500.64</v>
      </c>
      <c r="C12" s="8" t="n">
        <v>0.518</v>
      </c>
      <c r="D12" s="8" t="n">
        <v>2632.894283480912</v>
      </c>
      <c r="E12" s="8" t="n">
        <v>22.30649103243176</v>
      </c>
      <c r="F12" s="8" t="n">
        <v>2623.414907756083</v>
      </c>
      <c r="G12" s="8" t="n">
        <v>2751.466995099225</v>
      </c>
      <c r="H12" s="5" t="n">
        <v>132.2542834809124</v>
      </c>
      <c r="I12" s="8" t="n">
        <v>21.78849103243176</v>
      </c>
      <c r="J12" s="6" t="inlineStr">
        <is>
          <t>❌ Worse</t>
        </is>
      </c>
      <c r="K12" s="7" t="inlineStr"/>
    </row>
    <row r="13">
      <c r="A13" s="3" t="inlineStr">
        <is>
          <t>F11 - Composition 3</t>
        </is>
      </c>
      <c r="B13" s="4" t="n">
        <v>2610</v>
      </c>
      <c r="C13" s="4" t="n">
        <v>54.8</v>
      </c>
      <c r="D13" s="4" t="n">
        <v>2606.053673131233</v>
      </c>
      <c r="E13" s="4" t="n">
        <v>5.777740123804923</v>
      </c>
      <c r="F13" s="4" t="n">
        <v>2601.319994148277</v>
      </c>
      <c r="G13" s="4" t="n">
        <v>2622.66273382562</v>
      </c>
      <c r="H13" s="9" t="n">
        <v>-3.946326868767301</v>
      </c>
      <c r="I13" s="4" t="n">
        <v>-49.02225987619507</v>
      </c>
      <c r="J13" s="10" t="inlineStr">
        <is>
          <t>✅ Better</t>
        </is>
      </c>
      <c r="K13" s="3" t="inlineStr"/>
    </row>
    <row r="14">
      <c r="A14" s="7" t="inlineStr">
        <is>
          <t>F12 - Composition 4</t>
        </is>
      </c>
      <c r="B14" s="8" t="n">
        <v>2861.61</v>
      </c>
      <c r="C14" s="8" t="n">
        <v>0.946</v>
      </c>
      <c r="D14" s="8" t="n">
        <v>2869.939433637538</v>
      </c>
      <c r="E14" s="8" t="n">
        <v>1.764276732667429</v>
      </c>
      <c r="F14" s="8" t="n">
        <v>2868.184325389537</v>
      </c>
      <c r="G14" s="8" t="n">
        <v>2875.617276819583</v>
      </c>
      <c r="H14" s="5" t="n">
        <v>8.329433637537932</v>
      </c>
      <c r="I14" s="8" t="n">
        <v>0.8182767326674287</v>
      </c>
      <c r="J14" s="6" t="inlineStr">
        <is>
          <t>❌ Worse</t>
        </is>
      </c>
      <c r="K14" s="7" t="inlineStr"/>
    </row>
    <row r="15">
      <c r="A15" s="11" t="inlineStr">
        <is>
          <t>Summary</t>
        </is>
      </c>
      <c r="D15" s="12">
        <f>COUNTIF(J3:J14,"*Better*")</f>
        <v/>
      </c>
      <c r="E15" s="12" t="inlineStr">
        <is>
          <t>Functions Better</t>
        </is>
      </c>
      <c r="F15" s="12">
        <f>COUNTIF(J3:J14,"*Worse*")</f>
        <v/>
      </c>
      <c r="G15" s="12" t="inlineStr">
        <is>
          <t>Functions Worse</t>
        </is>
      </c>
      <c r="H15" s="12">
        <f>COUNTIF(J3:J14,"*Equal*")</f>
        <v/>
      </c>
      <c r="I15" s="12" t="inlineStr">
        <is>
          <t>Functions Equal</t>
        </is>
      </c>
    </row>
  </sheetData>
  <mergeCells count="2">
    <mergeCell ref="A15:C15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8" customWidth="1" min="11" max="11"/>
  </cols>
  <sheetData>
    <row r="1" ht="28" customHeight="1">
      <c r="A1" s="1" t="inlineStr">
        <is>
          <t>CoDPSO Results Comparison — CEC 2022 (D=20)</t>
        </is>
      </c>
    </row>
    <row r="2" ht="22" customHeight="1">
      <c r="A2" s="2" t="inlineStr">
        <is>
          <t>Function</t>
        </is>
      </c>
      <c r="B2" s="2" t="inlineStr">
        <is>
          <t>Paper Mean</t>
        </is>
      </c>
      <c r="C2" s="2" t="inlineStr">
        <is>
          <t>Paper Std</t>
        </is>
      </c>
      <c r="D2" s="2" t="inlineStr">
        <is>
          <t>My Mean</t>
        </is>
      </c>
      <c r="E2" s="2" t="inlineStr">
        <is>
          <t>My Std</t>
        </is>
      </c>
      <c r="F2" s="2" t="inlineStr">
        <is>
          <t>My Best</t>
        </is>
      </c>
      <c r="G2" s="2" t="inlineStr">
        <is>
          <t>My Worst</t>
        </is>
      </c>
      <c r="H2" s="2" t="inlineStr">
        <is>
          <t>Diff (Mean)</t>
        </is>
      </c>
      <c r="I2" s="2" t="inlineStr">
        <is>
          <t>Diff (Std)</t>
        </is>
      </c>
      <c r="J2" s="2" t="inlineStr">
        <is>
          <t>Mean Better?</t>
        </is>
      </c>
      <c r="K2" s="2" t="inlineStr">
        <is>
          <t>Notes</t>
        </is>
      </c>
    </row>
    <row r="3">
      <c r="A3" s="3" t="inlineStr">
        <is>
          <t>F1 - Zakharov</t>
        </is>
      </c>
      <c r="B3" s="4" t="n">
        <v>300</v>
      </c>
      <c r="C3" s="4" t="n">
        <v>1.83e-14</v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6" t="inlineStr">
        <is>
          <t>❌ Worse</t>
        </is>
      </c>
      <c r="K3" s="3" t="inlineStr"/>
    </row>
    <row r="4">
      <c r="A4" s="7" t="inlineStr">
        <is>
          <t>F2 - Rosenbrock</t>
        </is>
      </c>
      <c r="B4" s="8" t="n">
        <v>422.16</v>
      </c>
      <c r="C4" s="8" t="n">
        <v>28.8</v>
      </c>
      <c r="D4" s="8" t="n">
        <v/>
      </c>
      <c r="E4" s="8" t="n">
        <v/>
      </c>
      <c r="F4" s="8" t="n">
        <v/>
      </c>
      <c r="G4" s="8" t="n">
        <v/>
      </c>
      <c r="H4" s="8" t="n">
        <v/>
      </c>
      <c r="I4" s="8" t="n">
        <v/>
      </c>
      <c r="J4" s="6" t="inlineStr">
        <is>
          <t>❌ Worse</t>
        </is>
      </c>
      <c r="K4" s="7" t="inlineStr"/>
    </row>
    <row r="5">
      <c r="A5" s="3" t="inlineStr">
        <is>
          <t>F3 - Schaffer f6</t>
        </is>
      </c>
      <c r="B5" s="4" t="n">
        <v>600.53</v>
      </c>
      <c r="C5" s="4" t="n">
        <v>0.777</v>
      </c>
      <c r="D5" s="4" t="n">
        <v/>
      </c>
      <c r="E5" s="4" t="n">
        <v/>
      </c>
      <c r="F5" s="4" t="n">
        <v/>
      </c>
      <c r="G5" s="4" t="n">
        <v/>
      </c>
      <c r="H5" s="4" t="n">
        <v/>
      </c>
      <c r="I5" s="4" t="n">
        <v/>
      </c>
      <c r="J5" s="6" t="inlineStr">
        <is>
          <t>❌ Worse</t>
        </is>
      </c>
      <c r="K5" s="3" t="inlineStr"/>
    </row>
    <row r="6">
      <c r="A6" s="7" t="inlineStr">
        <is>
          <t>F4 - Rastrigin</t>
        </is>
      </c>
      <c r="B6" s="8" t="n">
        <v>831.46</v>
      </c>
      <c r="C6" s="8" t="n">
        <v>6.29</v>
      </c>
      <c r="D6" s="8" t="n">
        <v/>
      </c>
      <c r="E6" s="8" t="n">
        <v/>
      </c>
      <c r="F6" s="8" t="n">
        <v/>
      </c>
      <c r="G6" s="8" t="n">
        <v/>
      </c>
      <c r="H6" s="8" t="n">
        <v/>
      </c>
      <c r="I6" s="8" t="n">
        <v/>
      </c>
      <c r="J6" s="6" t="inlineStr">
        <is>
          <t>❌ Worse</t>
        </is>
      </c>
      <c r="K6" s="7" t="inlineStr"/>
    </row>
    <row r="7">
      <c r="A7" s="3" t="inlineStr">
        <is>
          <t>F5 - Levy</t>
        </is>
      </c>
      <c r="B7" s="4" t="n">
        <v>905.96</v>
      </c>
      <c r="C7" s="4" t="n">
        <v>6.8</v>
      </c>
      <c r="D7" s="4" t="n">
        <v/>
      </c>
      <c r="E7" s="4" t="n">
        <v/>
      </c>
      <c r="F7" s="4" t="n">
        <v/>
      </c>
      <c r="G7" s="4" t="n">
        <v/>
      </c>
      <c r="H7" s="4" t="n">
        <v/>
      </c>
      <c r="I7" s="4" t="n">
        <v/>
      </c>
      <c r="J7" s="6" t="inlineStr">
        <is>
          <t>❌ Worse</t>
        </is>
      </c>
      <c r="K7" s="3" t="inlineStr"/>
    </row>
    <row r="8">
      <c r="A8" s="7" t="inlineStr">
        <is>
          <t>F6 - Hybrid 1</t>
        </is>
      </c>
      <c r="B8" s="8" t="n">
        <v>2050.76</v>
      </c>
      <c r="C8" s="8" t="n">
        <v>210</v>
      </c>
      <c r="D8" s="8" t="n">
        <v/>
      </c>
      <c r="E8" s="8" t="n">
        <v/>
      </c>
      <c r="F8" s="8" t="n">
        <v/>
      </c>
      <c r="G8" s="8" t="n">
        <v/>
      </c>
      <c r="H8" s="8" t="n">
        <v/>
      </c>
      <c r="I8" s="8" t="n">
        <v/>
      </c>
      <c r="J8" s="6" t="inlineStr">
        <is>
          <t>❌ Worse</t>
        </is>
      </c>
      <c r="K8" s="7" t="inlineStr"/>
    </row>
    <row r="9">
      <c r="A9" s="3" t="inlineStr">
        <is>
          <t>F7 - Hybrid 2</t>
        </is>
      </c>
      <c r="B9" s="4" t="n">
        <v>2035.73</v>
      </c>
      <c r="C9" s="4" t="n">
        <v>13.7</v>
      </c>
      <c r="D9" s="4" t="n">
        <v/>
      </c>
      <c r="E9" s="4" t="n">
        <v/>
      </c>
      <c r="F9" s="4" t="n">
        <v/>
      </c>
      <c r="G9" s="4" t="n">
        <v/>
      </c>
      <c r="H9" s="4" t="n">
        <v/>
      </c>
      <c r="I9" s="4" t="n">
        <v/>
      </c>
      <c r="J9" s="6" t="inlineStr">
        <is>
          <t>❌ Worse</t>
        </is>
      </c>
      <c r="K9" s="3" t="inlineStr"/>
    </row>
    <row r="10">
      <c r="A10" s="7" t="inlineStr">
        <is>
          <t>F8 - Hybrid 3</t>
        </is>
      </c>
      <c r="B10" s="8" t="n">
        <v>2223.4</v>
      </c>
      <c r="C10" s="8" t="n">
        <v>3.44</v>
      </c>
      <c r="D10" s="8" t="n">
        <v/>
      </c>
      <c r="E10" s="8" t="n">
        <v/>
      </c>
      <c r="F10" s="8" t="n">
        <v/>
      </c>
      <c r="G10" s="8" t="n">
        <v/>
      </c>
      <c r="H10" s="8" t="n">
        <v/>
      </c>
      <c r="I10" s="8" t="n">
        <v/>
      </c>
      <c r="J10" s="6" t="inlineStr">
        <is>
          <t>❌ Worse</t>
        </is>
      </c>
      <c r="K10" s="7" t="inlineStr"/>
    </row>
    <row r="11">
      <c r="A11" s="3" t="inlineStr">
        <is>
          <t>F9 - Composition 1</t>
        </is>
      </c>
      <c r="B11" s="4" t="n">
        <v>2480.78</v>
      </c>
      <c r="C11" s="4" t="n">
        <v>1.17e-12</v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6" t="inlineStr">
        <is>
          <t>❌ Worse</t>
        </is>
      </c>
      <c r="K11" s="3" t="inlineStr"/>
    </row>
    <row r="12">
      <c r="A12" s="7" t="inlineStr">
        <is>
          <t>F10 - Composition 2</t>
        </is>
      </c>
      <c r="B12" s="8" t="n">
        <v>2516.76</v>
      </c>
      <c r="C12" s="8" t="n">
        <v>53.8</v>
      </c>
      <c r="D12" s="8" t="n">
        <v/>
      </c>
      <c r="E12" s="8" t="n">
        <v/>
      </c>
      <c r="F12" s="8" t="n">
        <v/>
      </c>
      <c r="G12" s="8" t="n">
        <v/>
      </c>
      <c r="H12" s="8" t="n">
        <v/>
      </c>
      <c r="I12" s="8" t="n">
        <v/>
      </c>
      <c r="J12" s="6" t="inlineStr">
        <is>
          <t>❌ Worse</t>
        </is>
      </c>
      <c r="K12" s="7" t="inlineStr"/>
    </row>
    <row r="13">
      <c r="A13" s="3" t="inlineStr">
        <is>
          <t>F11 - Composition 3</t>
        </is>
      </c>
      <c r="B13" s="4" t="n">
        <v>2853.42</v>
      </c>
      <c r="C13" s="4" t="n">
        <v>158</v>
      </c>
      <c r="D13" s="4" t="n">
        <v/>
      </c>
      <c r="E13" s="4" t="n">
        <v/>
      </c>
      <c r="F13" s="4" t="n">
        <v/>
      </c>
      <c r="G13" s="4" t="n">
        <v/>
      </c>
      <c r="H13" s="4" t="n">
        <v/>
      </c>
      <c r="I13" s="4" t="n">
        <v/>
      </c>
      <c r="J13" s="6" t="inlineStr">
        <is>
          <t>❌ Worse</t>
        </is>
      </c>
      <c r="K13" s="3" t="inlineStr"/>
    </row>
    <row r="14">
      <c r="A14" s="7" t="inlineStr">
        <is>
          <t>F12 - Composition 4</t>
        </is>
      </c>
      <c r="B14" s="8" t="n">
        <v>2947.63</v>
      </c>
      <c r="C14" s="8" t="n">
        <v>3.88</v>
      </c>
      <c r="D14" s="8" t="n">
        <v/>
      </c>
      <c r="E14" s="8" t="n">
        <v/>
      </c>
      <c r="F14" s="8" t="n">
        <v/>
      </c>
      <c r="G14" s="8" t="n">
        <v/>
      </c>
      <c r="H14" s="8" t="n">
        <v/>
      </c>
      <c r="I14" s="8" t="n">
        <v/>
      </c>
      <c r="J14" s="6" t="inlineStr">
        <is>
          <t>❌ Worse</t>
        </is>
      </c>
      <c r="K14" s="7" t="inlineStr"/>
    </row>
    <row r="15">
      <c r="A15" s="11" t="inlineStr">
        <is>
          <t>Summary</t>
        </is>
      </c>
      <c r="D15" s="12">
        <f>COUNTIF(J3:J14,"*Better*")</f>
        <v/>
      </c>
      <c r="E15" s="12" t="inlineStr">
        <is>
          <t>Functions Better</t>
        </is>
      </c>
      <c r="F15" s="12">
        <f>COUNTIF(J3:J14,"*Worse*")</f>
        <v/>
      </c>
      <c r="G15" s="12" t="inlineStr">
        <is>
          <t>Functions Worse</t>
        </is>
      </c>
      <c r="H15" s="12">
        <f>COUNTIF(J3:J14,"*Equal*")</f>
        <v/>
      </c>
      <c r="I15" s="12" t="inlineStr">
        <is>
          <t>Functions Equal</t>
        </is>
      </c>
    </row>
  </sheetData>
  <mergeCells count="2">
    <mergeCell ref="A15:C15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14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</cols>
  <sheetData>
    <row r="1" ht="24" customHeight="1">
      <c r="A1" s="1" t="inlineStr">
        <is>
          <t>Raw Run Results — CEC 2022 (D=10) — 30 Independent Runs</t>
        </is>
      </c>
    </row>
    <row r="2" ht="20" customHeight="1">
      <c r="A2" s="2" t="inlineStr">
        <is>
          <t>Function</t>
        </is>
      </c>
      <c r="B2" s="2" t="inlineStr">
        <is>
          <t>Run 1</t>
        </is>
      </c>
      <c r="C2" s="2" t="inlineStr">
        <is>
          <t>Run 2</t>
        </is>
      </c>
      <c r="D2" s="2" t="inlineStr">
        <is>
          <t>Run 3</t>
        </is>
      </c>
      <c r="E2" s="2" t="inlineStr">
        <is>
          <t>Run 4</t>
        </is>
      </c>
      <c r="F2" s="2" t="inlineStr">
        <is>
          <t>Run 5</t>
        </is>
      </c>
      <c r="G2" s="2" t="inlineStr">
        <is>
          <t>Run 6</t>
        </is>
      </c>
      <c r="H2" s="2" t="inlineStr">
        <is>
          <t>Run 7</t>
        </is>
      </c>
      <c r="I2" s="2" t="inlineStr">
        <is>
          <t>Run 8</t>
        </is>
      </c>
      <c r="J2" s="2" t="inlineStr">
        <is>
          <t>Run 9</t>
        </is>
      </c>
      <c r="K2" s="2" t="inlineStr">
        <is>
          <t>Run 10</t>
        </is>
      </c>
      <c r="L2" s="2" t="inlineStr">
        <is>
          <t>Run 11</t>
        </is>
      </c>
      <c r="M2" s="2" t="inlineStr">
        <is>
          <t>Run 12</t>
        </is>
      </c>
      <c r="N2" s="2" t="inlineStr">
        <is>
          <t>Run 13</t>
        </is>
      </c>
      <c r="O2" s="2" t="inlineStr">
        <is>
          <t>Run 14</t>
        </is>
      </c>
      <c r="P2" s="2" t="inlineStr">
        <is>
          <t>Run 15</t>
        </is>
      </c>
      <c r="Q2" s="2" t="inlineStr">
        <is>
          <t>Run 16</t>
        </is>
      </c>
      <c r="R2" s="2" t="inlineStr">
        <is>
          <t>Run 17</t>
        </is>
      </c>
      <c r="S2" s="2" t="inlineStr">
        <is>
          <t>Run 18</t>
        </is>
      </c>
      <c r="T2" s="2" t="inlineStr">
        <is>
          <t>Run 19</t>
        </is>
      </c>
      <c r="U2" s="2" t="inlineStr">
        <is>
          <t>Run 20</t>
        </is>
      </c>
      <c r="V2" s="2" t="inlineStr">
        <is>
          <t>Run 21</t>
        </is>
      </c>
      <c r="W2" s="2" t="inlineStr">
        <is>
          <t>Run 22</t>
        </is>
      </c>
      <c r="X2" s="2" t="inlineStr">
        <is>
          <t>Run 23</t>
        </is>
      </c>
      <c r="Y2" s="2" t="inlineStr">
        <is>
          <t>Run 24</t>
        </is>
      </c>
      <c r="Z2" s="2" t="inlineStr">
        <is>
          <t>Run 25</t>
        </is>
      </c>
      <c r="AA2" s="2" t="inlineStr">
        <is>
          <t>Run 26</t>
        </is>
      </c>
      <c r="AB2" s="2" t="inlineStr">
        <is>
          <t>Run 27</t>
        </is>
      </c>
      <c r="AC2" s="2" t="inlineStr">
        <is>
          <t>Run 28</t>
        </is>
      </c>
      <c r="AD2" s="2" t="inlineStr">
        <is>
          <t>Run 29</t>
        </is>
      </c>
      <c r="AE2" s="2" t="inlineStr">
        <is>
          <t>Run 30</t>
        </is>
      </c>
      <c r="AF2" s="2" t="inlineStr">
        <is>
          <t>Mean</t>
        </is>
      </c>
      <c r="AG2" s="2" t="inlineStr">
        <is>
          <t>Std</t>
        </is>
      </c>
      <c r="AH2" s="2" t="inlineStr">
        <is>
          <t>Best</t>
        </is>
      </c>
      <c r="AI2" s="2" t="inlineStr">
        <is>
          <t>Worst</t>
        </is>
      </c>
    </row>
    <row r="3">
      <c r="A3" s="13" t="inlineStr">
        <is>
          <t>F1 - Zakharov</t>
        </is>
      </c>
      <c r="B3" s="4" t="n">
        <v>321.9124517871341</v>
      </c>
      <c r="C3" s="4" t="n">
        <v>314.0707706730805</v>
      </c>
      <c r="D3" s="4" t="n">
        <v>350.0046465464358</v>
      </c>
      <c r="E3" s="4" t="n">
        <v>387.6400744134166</v>
      </c>
      <c r="F3" s="4" t="n">
        <v>349.4792534340656</v>
      </c>
      <c r="G3" s="4" t="n">
        <v>377.357365048929</v>
      </c>
      <c r="H3" s="4" t="n">
        <v>335.492709703153</v>
      </c>
      <c r="I3" s="4" t="n">
        <v>356.5127508918586</v>
      </c>
      <c r="J3" s="4" t="n">
        <v>359.9154739430958</v>
      </c>
      <c r="K3" s="4" t="n">
        <v>395.9127863568975</v>
      </c>
      <c r="L3" s="4" t="n">
        <v>306.4037853189984</v>
      </c>
      <c r="M3" s="4" t="n">
        <v>334.5964368811302</v>
      </c>
      <c r="N3" s="4" t="n">
        <v>365.7323947964663</v>
      </c>
      <c r="O3" s="4" t="n">
        <v>310.7393124716679</v>
      </c>
      <c r="P3" s="4" t="n">
        <v>327.8594050707321</v>
      </c>
      <c r="Q3" s="4" t="n">
        <v>328.2871226103289</v>
      </c>
      <c r="R3" s="4" t="n">
        <v>321.8613859955478</v>
      </c>
      <c r="S3" s="4" t="n">
        <v>301.9143542803455</v>
      </c>
      <c r="T3" s="4" t="n">
        <v>378.80270963656</v>
      </c>
      <c r="U3" s="4" t="n">
        <v>361.3371552250873</v>
      </c>
      <c r="V3" s="4" t="n">
        <v>339.7957685245354</v>
      </c>
      <c r="W3" s="4" t="n">
        <v>346.1438792299954</v>
      </c>
      <c r="X3" s="4" t="n">
        <v>334.1105529094777</v>
      </c>
      <c r="Y3" s="4" t="n">
        <v>325.7085015390989</v>
      </c>
      <c r="Z3" s="4" t="n">
        <v>341.8135047662314</v>
      </c>
      <c r="AA3" s="4" t="n">
        <v>325.5062287793513</v>
      </c>
      <c r="AB3" s="4" t="n">
        <v>334.1674940176969</v>
      </c>
      <c r="AC3" s="4" t="n">
        <v>305.3264138781733</v>
      </c>
      <c r="AD3" s="4" t="n">
        <v>335.5112668655145</v>
      </c>
      <c r="AE3" s="4" t="n">
        <v>364.3858027512757</v>
      </c>
      <c r="AF3" s="14">
        <f>AVERAGE(B3:AE3)</f>
        <v/>
      </c>
      <c r="AG3" s="14">
        <f>STDEV(B3:AE3)</f>
        <v/>
      </c>
      <c r="AH3" s="14">
        <f>MIN(B3:AE3)</f>
        <v/>
      </c>
      <c r="AI3" s="14">
        <f>MAX(B3:AE3)</f>
        <v/>
      </c>
    </row>
    <row r="4">
      <c r="A4" s="15" t="inlineStr">
        <is>
          <t>F2 - Rosenbrock</t>
        </is>
      </c>
      <c r="B4" s="8" t="n">
        <v>403.1020682528393</v>
      </c>
      <c r="C4" s="8" t="n">
        <v>403.4935190084236</v>
      </c>
      <c r="D4" s="8" t="n">
        <v>404.3846572609367</v>
      </c>
      <c r="E4" s="8" t="n">
        <v>411.0016587795204</v>
      </c>
      <c r="F4" s="8" t="n">
        <v>408.9793218372212</v>
      </c>
      <c r="G4" s="8" t="n">
        <v>408.4232321419059</v>
      </c>
      <c r="H4" s="8" t="n">
        <v>408.428281558807</v>
      </c>
      <c r="I4" s="8" t="n">
        <v>404.2699469317884</v>
      </c>
      <c r="J4" s="8" t="n">
        <v>408.5305076320592</v>
      </c>
      <c r="K4" s="8" t="n">
        <v>412.0643131244716</v>
      </c>
      <c r="L4" s="8" t="n">
        <v>412.7342574897095</v>
      </c>
      <c r="M4" s="8" t="n">
        <v>404.3749917848873</v>
      </c>
      <c r="N4" s="8" t="n">
        <v>411.279611662619</v>
      </c>
      <c r="O4" s="8" t="n">
        <v>401.5352477151633</v>
      </c>
      <c r="P4" s="8" t="n">
        <v>410.8458255261779</v>
      </c>
      <c r="Q4" s="8" t="n">
        <v>403.9600059869433</v>
      </c>
      <c r="R4" s="8" t="n">
        <v>420.2550846258457</v>
      </c>
      <c r="S4" s="8" t="n">
        <v>402.2936990990556</v>
      </c>
      <c r="T4" s="8" t="n">
        <v>409.7057290122679</v>
      </c>
      <c r="U4" s="8" t="n">
        <v>417.2920028116228</v>
      </c>
      <c r="V4" s="8" t="n">
        <v>406.3927719348927</v>
      </c>
      <c r="W4" s="8" t="n">
        <v>412.198280839651</v>
      </c>
      <c r="X4" s="8" t="n">
        <v>408.3116853445874</v>
      </c>
      <c r="Y4" s="8" t="n">
        <v>407.563077246152</v>
      </c>
      <c r="Z4" s="8" t="n">
        <v>411.2149046119302</v>
      </c>
      <c r="AA4" s="8" t="n">
        <v>408.2752948529218</v>
      </c>
      <c r="AB4" s="8" t="n">
        <v>407.8748188845341</v>
      </c>
      <c r="AC4" s="8" t="n">
        <v>410.5247655293452</v>
      </c>
      <c r="AD4" s="8" t="n">
        <v>402.3821009398529</v>
      </c>
      <c r="AE4" s="8" t="n">
        <v>430.018465005009</v>
      </c>
      <c r="AF4" s="14">
        <f>AVERAGE(B4:AE4)</f>
        <v/>
      </c>
      <c r="AG4" s="14">
        <f>STDEV(B4:AE4)</f>
        <v/>
      </c>
      <c r="AH4" s="14">
        <f>MIN(B4:AE4)</f>
        <v/>
      </c>
      <c r="AI4" s="14">
        <f>MAX(B4:AE4)</f>
        <v/>
      </c>
    </row>
    <row r="5">
      <c r="A5" s="13" t="inlineStr">
        <is>
          <t>F3 - Schaffer f6</t>
        </is>
      </c>
      <c r="B5" s="4" t="n">
        <v>600.000694450291</v>
      </c>
      <c r="C5" s="4" t="n">
        <v>600.0001531142539</v>
      </c>
      <c r="D5" s="4" t="n">
        <v>600.0008690321421</v>
      </c>
      <c r="E5" s="4" t="n">
        <v>600.0004471279427</v>
      </c>
      <c r="F5" s="4" t="n">
        <v>600.0006846658384</v>
      </c>
      <c r="G5" s="4" t="n">
        <v>600.0010791176591</v>
      </c>
      <c r="H5" s="4" t="n">
        <v>600.0001943147299</v>
      </c>
      <c r="I5" s="4" t="n">
        <v>600.0005062337818</v>
      </c>
      <c r="J5" s="4" t="n">
        <v>600.0001507317784</v>
      </c>
      <c r="K5" s="4" t="n">
        <v>600.0005434748451</v>
      </c>
      <c r="L5" s="4" t="n">
        <v>600.0004629770082</v>
      </c>
      <c r="M5" s="4" t="n">
        <v>600.000169718492</v>
      </c>
      <c r="N5" s="4" t="n">
        <v>600.000444947748</v>
      </c>
      <c r="O5" s="4" t="n">
        <v>600.0005040808539</v>
      </c>
      <c r="P5" s="4" t="n">
        <v>600.0007384728082</v>
      </c>
      <c r="Q5" s="4" t="n">
        <v>600.000275426056</v>
      </c>
      <c r="R5" s="4" t="n">
        <v>600.0006960794104</v>
      </c>
      <c r="S5" s="4" t="n">
        <v>600.0006191650599</v>
      </c>
      <c r="T5" s="4" t="n">
        <v>600.0005311717495</v>
      </c>
      <c r="U5" s="4" t="n">
        <v>600.0007405632351</v>
      </c>
      <c r="V5" s="4" t="n">
        <v>600.0004115172968</v>
      </c>
      <c r="W5" s="4" t="n">
        <v>600.0004369921165</v>
      </c>
      <c r="X5" s="4" t="n">
        <v>600.0003061778413</v>
      </c>
      <c r="Y5" s="4" t="n">
        <v>600.0006594507098</v>
      </c>
      <c r="Z5" s="4" t="n">
        <v>600.0004385795211</v>
      </c>
      <c r="AA5" s="4" t="n">
        <v>600.0006465219577</v>
      </c>
      <c r="AB5" s="4" t="n">
        <v>600.0005239484223</v>
      </c>
      <c r="AC5" s="4" t="n">
        <v>600.0005656669412</v>
      </c>
      <c r="AD5" s="4" t="n">
        <v>600.0009949900953</v>
      </c>
      <c r="AE5" s="4" t="n">
        <v>600.0004495285518</v>
      </c>
      <c r="AF5" s="14">
        <f>AVERAGE(B5:AE5)</f>
        <v/>
      </c>
      <c r="AG5" s="14">
        <f>STDEV(B5:AE5)</f>
        <v/>
      </c>
      <c r="AH5" s="14">
        <f>MIN(B5:AE5)</f>
        <v/>
      </c>
      <c r="AI5" s="14">
        <f>MAX(B5:AE5)</f>
        <v/>
      </c>
    </row>
    <row r="6">
      <c r="A6" s="15" t="inlineStr">
        <is>
          <t>F4 - Rastrigin</t>
        </is>
      </c>
      <c r="B6" s="8" t="n">
        <v>822.0016219140912</v>
      </c>
      <c r="C6" s="8" t="n">
        <v>818.0000015561309</v>
      </c>
      <c r="D6" s="8" t="n">
        <v>824.0005695965789</v>
      </c>
      <c r="E6" s="8" t="n">
        <v>820.015101789144</v>
      </c>
      <c r="F6" s="8" t="n">
        <v>830.0000013438486</v>
      </c>
      <c r="G6" s="8" t="n">
        <v>818.0000002894594</v>
      </c>
      <c r="H6" s="8" t="n">
        <v>828.0021762243275</v>
      </c>
      <c r="I6" s="8" t="n">
        <v>816.0415363262896</v>
      </c>
      <c r="J6" s="8" t="n">
        <v>830.008141243644</v>
      </c>
      <c r="K6" s="8" t="n">
        <v>850.0000014890418</v>
      </c>
      <c r="L6" s="8" t="n">
        <v>828.0012179909211</v>
      </c>
      <c r="M6" s="8" t="n">
        <v>834.0000371136103</v>
      </c>
      <c r="N6" s="8" t="n">
        <v>824.048127898555</v>
      </c>
      <c r="O6" s="8" t="n">
        <v>830.0610070319133</v>
      </c>
      <c r="P6" s="8" t="n">
        <v>832.0003021843006</v>
      </c>
      <c r="Q6" s="8" t="n">
        <v>820.1633055402108</v>
      </c>
      <c r="R6" s="8" t="n">
        <v>842.0401415776919</v>
      </c>
      <c r="S6" s="8" t="n">
        <v>846.0000000140686</v>
      </c>
      <c r="T6" s="8" t="n">
        <v>830.9770806355097</v>
      </c>
      <c r="U6" s="8" t="n">
        <v>819.6910400244891</v>
      </c>
      <c r="V6" s="8" t="n">
        <v>852.000000424985</v>
      </c>
      <c r="W6" s="8" t="n">
        <v>828.4130799487483</v>
      </c>
      <c r="X6" s="8" t="n">
        <v>816.0001941859394</v>
      </c>
      <c r="Y6" s="8" t="n">
        <v>832.0061586138727</v>
      </c>
      <c r="Z6" s="8" t="n">
        <v>844.0184232078475</v>
      </c>
      <c r="AA6" s="8" t="n">
        <v>850.0000541855777</v>
      </c>
      <c r="AB6" s="8" t="n">
        <v>852.0000007805262</v>
      </c>
      <c r="AC6" s="8" t="n">
        <v>821.3407927035115</v>
      </c>
      <c r="AD6" s="8" t="n">
        <v>828.0882179918352</v>
      </c>
      <c r="AE6" s="8" t="n">
        <v>846.0000000000058</v>
      </c>
      <c r="AF6" s="14">
        <f>AVERAGE(B6:AE6)</f>
        <v/>
      </c>
      <c r="AG6" s="14">
        <f>STDEV(B6:AE6)</f>
        <v/>
      </c>
      <c r="AH6" s="14">
        <f>MIN(B6:AE6)</f>
        <v/>
      </c>
      <c r="AI6" s="14">
        <f>MAX(B6:AE6)</f>
        <v/>
      </c>
    </row>
    <row r="7">
      <c r="A7" s="13" t="inlineStr">
        <is>
          <t>F5 - Levy</t>
        </is>
      </c>
      <c r="B7" s="4" t="n">
        <v>900.2119505884526</v>
      </c>
      <c r="C7" s="4" t="n">
        <v>900.1587795703563</v>
      </c>
      <c r="D7" s="4" t="n">
        <v>900.0137780937523</v>
      </c>
      <c r="E7" s="4" t="n">
        <v>900.493637923997</v>
      </c>
      <c r="F7" s="4" t="n">
        <v>900.0704908080892</v>
      </c>
      <c r="G7" s="4" t="n">
        <v>900.2844683377039</v>
      </c>
      <c r="H7" s="4" t="n">
        <v>900.2075477895318</v>
      </c>
      <c r="I7" s="4" t="n">
        <v>900.0928669627586</v>
      </c>
      <c r="J7" s="4" t="n">
        <v>900.0226336782196</v>
      </c>
      <c r="K7" s="4" t="n">
        <v>900.0140605986109</v>
      </c>
      <c r="L7" s="4" t="n">
        <v>900.1111722845966</v>
      </c>
      <c r="M7" s="4" t="n">
        <v>900.1027580705271</v>
      </c>
      <c r="N7" s="4" t="n">
        <v>900.0085653124434</v>
      </c>
      <c r="O7" s="4" t="n">
        <v>900.5494548576048</v>
      </c>
      <c r="P7" s="4" t="n">
        <v>900.010479045329</v>
      </c>
      <c r="Q7" s="4" t="n">
        <v>900.0462144792057</v>
      </c>
      <c r="R7" s="4" t="n">
        <v>900.2233463542666</v>
      </c>
      <c r="S7" s="4" t="n">
        <v>900.1350553521734</v>
      </c>
      <c r="T7" s="4" t="n">
        <v>900.0343474543939</v>
      </c>
      <c r="U7" s="4" t="n">
        <v>900.0040942381161</v>
      </c>
      <c r="V7" s="4" t="n">
        <v>900.1864908091544</v>
      </c>
      <c r="W7" s="4" t="n">
        <v>900.0195301761563</v>
      </c>
      <c r="X7" s="4" t="n">
        <v>900.161829560605</v>
      </c>
      <c r="Y7" s="4" t="n">
        <v>900.4327683389189</v>
      </c>
      <c r="Z7" s="4" t="n">
        <v>900.1857645542412</v>
      </c>
      <c r="AA7" s="4" t="n">
        <v>900.1235467522696</v>
      </c>
      <c r="AB7" s="4" t="n">
        <v>900.1015054269752</v>
      </c>
      <c r="AC7" s="4" t="n">
        <v>900.0438645444419</v>
      </c>
      <c r="AD7" s="4" t="n">
        <v>900.1852354494749</v>
      </c>
      <c r="AE7" s="4" t="n">
        <v>900.2087054987505</v>
      </c>
      <c r="AF7" s="14">
        <f>AVERAGE(B7:AE7)</f>
        <v/>
      </c>
      <c r="AG7" s="14">
        <f>STDEV(B7:AE7)</f>
        <v/>
      </c>
      <c r="AH7" s="14">
        <f>MIN(B7:AE7)</f>
        <v/>
      </c>
      <c r="AI7" s="14">
        <f>MAX(B7:AE7)</f>
        <v/>
      </c>
    </row>
    <row r="8">
      <c r="A8" s="15" t="inlineStr">
        <is>
          <t>F6 - Hybrid 1</t>
        </is>
      </c>
      <c r="B8" s="8" t="n">
        <v>20641.59216537873</v>
      </c>
      <c r="C8" s="8" t="n">
        <v>22578.49338522329</v>
      </c>
      <c r="D8" s="8" t="n">
        <v>10862.20832302194</v>
      </c>
      <c r="E8" s="8" t="n">
        <v>18168.30260875679</v>
      </c>
      <c r="F8" s="8" t="n">
        <v>16232.84726293689</v>
      </c>
      <c r="G8" s="8" t="n">
        <v>9411.654045410703</v>
      </c>
      <c r="H8" s="8" t="n">
        <v>17003.3321624544</v>
      </c>
      <c r="I8" s="8" t="n">
        <v>5025.937928620318</v>
      </c>
      <c r="J8" s="8" t="n">
        <v>20641.18429682944</v>
      </c>
      <c r="K8" s="8" t="n">
        <v>15637.68643934662</v>
      </c>
      <c r="L8" s="8" t="n">
        <v>19760.89149975024</v>
      </c>
      <c r="M8" s="8" t="n">
        <v>12342.70237424351</v>
      </c>
      <c r="N8" s="8" t="n">
        <v>23903.0801485195</v>
      </c>
      <c r="O8" s="8" t="n">
        <v>20799.33293960076</v>
      </c>
      <c r="P8" s="8" t="n">
        <v>17085.46576967182</v>
      </c>
      <c r="Q8" s="8" t="n">
        <v>20383.0840708264</v>
      </c>
      <c r="R8" s="8" t="n">
        <v>13078.04438130791</v>
      </c>
      <c r="S8" s="8" t="n">
        <v>8144.488528078272</v>
      </c>
      <c r="T8" s="8" t="n">
        <v>12672.27608863283</v>
      </c>
      <c r="U8" s="8" t="n">
        <v>8750.981268674008</v>
      </c>
      <c r="V8" s="8" t="n">
        <v>28503.55649558385</v>
      </c>
      <c r="W8" s="8" t="n">
        <v>17554.05617494225</v>
      </c>
      <c r="X8" s="8" t="n">
        <v>28131.29917345991</v>
      </c>
      <c r="Y8" s="8" t="n">
        <v>17763.75503129092</v>
      </c>
      <c r="Z8" s="8" t="n">
        <v>9465.404666185932</v>
      </c>
      <c r="AA8" s="8" t="n">
        <v>21286.50622260097</v>
      </c>
      <c r="AB8" s="8" t="n">
        <v>21230.13928527885</v>
      </c>
      <c r="AC8" s="8" t="n">
        <v>20037.61224116832</v>
      </c>
      <c r="AD8" s="8" t="n">
        <v>29691.02286936876</v>
      </c>
      <c r="AE8" s="8" t="n">
        <v>17654.92450605825</v>
      </c>
      <c r="AF8" s="14">
        <f>AVERAGE(B8:AE8)</f>
        <v/>
      </c>
      <c r="AG8" s="14">
        <f>STDEV(B8:AE8)</f>
        <v/>
      </c>
      <c r="AH8" s="14">
        <f>MIN(B8:AE8)</f>
        <v/>
      </c>
      <c r="AI8" s="14">
        <f>MAX(B8:AE8)</f>
        <v/>
      </c>
    </row>
    <row r="9">
      <c r="A9" s="13" t="inlineStr">
        <is>
          <t>F7 - Hybrid 2</t>
        </is>
      </c>
      <c r="B9" s="4" t="n">
        <v>2044.455452800737</v>
      </c>
      <c r="C9" s="4" t="n">
        <v>2056.106296537024</v>
      </c>
      <c r="D9" s="4" t="n">
        <v>2038.035013907244</v>
      </c>
      <c r="E9" s="4" t="n">
        <v>2040.472808779659</v>
      </c>
      <c r="F9" s="4" t="n">
        <v>2043.853492872288</v>
      </c>
      <c r="G9" s="4" t="n">
        <v>2037.171005495361</v>
      </c>
      <c r="H9" s="4" t="n">
        <v>2048.757664399437</v>
      </c>
      <c r="I9" s="4" t="n">
        <v>2030.644569298526</v>
      </c>
      <c r="J9" s="4" t="n">
        <v>2040.42400891951</v>
      </c>
      <c r="K9" s="4" t="n">
        <v>2034.674710421522</v>
      </c>
      <c r="L9" s="4" t="n">
        <v>2042.219449894825</v>
      </c>
      <c r="M9" s="4" t="n">
        <v>2044.141362350047</v>
      </c>
      <c r="N9" s="4" t="n">
        <v>2034.55375258638</v>
      </c>
      <c r="O9" s="4" t="n">
        <v>2044.676517661042</v>
      </c>
      <c r="P9" s="4" t="n">
        <v>2038.143388566359</v>
      </c>
      <c r="Q9" s="4" t="n">
        <v>2039.723696986222</v>
      </c>
      <c r="R9" s="4" t="n">
        <v>2031.939891828064</v>
      </c>
      <c r="S9" s="4" t="n">
        <v>2031.274257299484</v>
      </c>
      <c r="T9" s="4" t="n">
        <v>2035.621612912873</v>
      </c>
      <c r="U9" s="4" t="n">
        <v>2051.598816910738</v>
      </c>
      <c r="V9" s="4" t="n">
        <v>2044.004459812047</v>
      </c>
      <c r="W9" s="4" t="n">
        <v>2040.207807908164</v>
      </c>
      <c r="X9" s="4" t="n">
        <v>2040.332267915169</v>
      </c>
      <c r="Y9" s="4" t="n">
        <v>2039.399041097204</v>
      </c>
      <c r="Z9" s="4" t="n">
        <v>2021.013690010596</v>
      </c>
      <c r="AA9" s="4" t="n">
        <v>2033.525804087</v>
      </c>
      <c r="AB9" s="4" t="n">
        <v>2061.463757656976</v>
      </c>
      <c r="AC9" s="4" t="n">
        <v>2035.311821958664</v>
      </c>
      <c r="AD9" s="4" t="n">
        <v>2036.335298467357</v>
      </c>
      <c r="AE9" s="4" t="n">
        <v>2054.174147529007</v>
      </c>
      <c r="AF9" s="14">
        <f>AVERAGE(B9:AE9)</f>
        <v/>
      </c>
      <c r="AG9" s="14">
        <f>STDEV(B9:AE9)</f>
        <v/>
      </c>
      <c r="AH9" s="14">
        <f>MIN(B9:AE9)</f>
        <v/>
      </c>
      <c r="AI9" s="14">
        <f>MAX(B9:AE9)</f>
        <v/>
      </c>
    </row>
    <row r="10">
      <c r="A10" s="15" t="inlineStr">
        <is>
          <t>F8 - Hybrid 3</t>
        </is>
      </c>
      <c r="B10" s="8" t="n">
        <v>2245.290346552693</v>
      </c>
      <c r="C10" s="8" t="n">
        <v>2237.39428418271</v>
      </c>
      <c r="D10" s="8" t="n">
        <v>2276.552244503348</v>
      </c>
      <c r="E10" s="8" t="n">
        <v>2244.247178077148</v>
      </c>
      <c r="F10" s="8" t="n">
        <v>2271.937376079521</v>
      </c>
      <c r="G10" s="8" t="n">
        <v>2229.800575824169</v>
      </c>
      <c r="H10" s="8" t="n">
        <v>2236.314067256545</v>
      </c>
      <c r="I10" s="8" t="n">
        <v>2244.485689705265</v>
      </c>
      <c r="J10" s="8" t="n">
        <v>2227.597503796951</v>
      </c>
      <c r="K10" s="8" t="n">
        <v>2270.803184844114</v>
      </c>
      <c r="L10" s="8" t="n">
        <v>2242.365362463114</v>
      </c>
      <c r="M10" s="8" t="n">
        <v>2228.984267355373</v>
      </c>
      <c r="N10" s="8" t="n">
        <v>2242.144302970354</v>
      </c>
      <c r="O10" s="8" t="n">
        <v>2231.825393349728</v>
      </c>
      <c r="P10" s="8" t="n">
        <v>2302.461712666685</v>
      </c>
      <c r="Q10" s="8" t="n">
        <v>2258.18810197484</v>
      </c>
      <c r="R10" s="8" t="n">
        <v>2258.764591552238</v>
      </c>
      <c r="S10" s="8" t="n">
        <v>2234.203262914444</v>
      </c>
      <c r="T10" s="8" t="n">
        <v>2282.421151575762</v>
      </c>
      <c r="U10" s="8" t="n">
        <v>2261.891643996481</v>
      </c>
      <c r="V10" s="8" t="n">
        <v>2237.655354644296</v>
      </c>
      <c r="W10" s="8" t="n">
        <v>2241.10976669832</v>
      </c>
      <c r="X10" s="8" t="n">
        <v>2243.2315484926</v>
      </c>
      <c r="Y10" s="8" t="n">
        <v>2239.346817170516</v>
      </c>
      <c r="Z10" s="8" t="n">
        <v>2500.679190173065</v>
      </c>
      <c r="AA10" s="8" t="n">
        <v>2315.762208817869</v>
      </c>
      <c r="AB10" s="8" t="n">
        <v>2238.562241243082</v>
      </c>
      <c r="AC10" s="8" t="n">
        <v>2271.528821549473</v>
      </c>
      <c r="AD10" s="8" t="n">
        <v>2260.499548553656</v>
      </c>
      <c r="AE10" s="8" t="n">
        <v>2244.034553372376</v>
      </c>
      <c r="AF10" s="14">
        <f>AVERAGE(B10:AE10)</f>
        <v/>
      </c>
      <c r="AG10" s="14">
        <f>STDEV(B10:AE10)</f>
        <v/>
      </c>
      <c r="AH10" s="14">
        <f>MIN(B10:AE10)</f>
        <v/>
      </c>
      <c r="AI10" s="14">
        <f>MAX(B10:AE10)</f>
        <v/>
      </c>
    </row>
    <row r="11">
      <c r="A11" s="13" t="inlineStr">
        <is>
          <t>F9 - Composition 1</t>
        </is>
      </c>
      <c r="B11" s="4" t="n">
        <v>2356.839794868658</v>
      </c>
      <c r="C11" s="4" t="n">
        <v>2736.444970119394</v>
      </c>
      <c r="D11" s="4" t="n">
        <v>2670.136108532151</v>
      </c>
      <c r="E11" s="4" t="n">
        <v>2318.290410915088</v>
      </c>
      <c r="F11" s="4" t="n">
        <v>2675.26743251075</v>
      </c>
      <c r="G11" s="4" t="n">
        <v>2309.003033828419</v>
      </c>
      <c r="H11" s="4" t="n">
        <v>2670.672230181071</v>
      </c>
      <c r="I11" s="4" t="n">
        <v>2366.556335944204</v>
      </c>
      <c r="J11" s="4" t="n">
        <v>2310.184435241171</v>
      </c>
      <c r="K11" s="4" t="n">
        <v>2667.000015288601</v>
      </c>
      <c r="L11" s="4" t="n">
        <v>2667.958764001588</v>
      </c>
      <c r="M11" s="4" t="n">
        <v>2668.868952503279</v>
      </c>
      <c r="N11" s="4" t="n">
        <v>2676.338006307773</v>
      </c>
      <c r="O11" s="4" t="n">
        <v>2680.251216736825</v>
      </c>
      <c r="P11" s="4" t="n">
        <v>2312.574703193933</v>
      </c>
      <c r="Q11" s="4" t="n">
        <v>2307.277266833745</v>
      </c>
      <c r="R11" s="4" t="n">
        <v>2328.079020666872</v>
      </c>
      <c r="S11" s="4" t="n">
        <v>2307.878952581268</v>
      </c>
      <c r="T11" s="4" t="n">
        <v>2667.372549255771</v>
      </c>
      <c r="U11" s="4" t="n">
        <v>2305.953281398236</v>
      </c>
      <c r="V11" s="4" t="n">
        <v>2320.601204773012</v>
      </c>
      <c r="W11" s="4" t="n">
        <v>2670.121343943819</v>
      </c>
      <c r="X11" s="4" t="n">
        <v>2313.341767635307</v>
      </c>
      <c r="Y11" s="4" t="n">
        <v>2675.656567617533</v>
      </c>
      <c r="Z11" s="4" t="n">
        <v>2309.421687799866</v>
      </c>
      <c r="AA11" s="4" t="n">
        <v>2308.895088722029</v>
      </c>
      <c r="AB11" s="4" t="n">
        <v>2680.271324810987</v>
      </c>
      <c r="AC11" s="4" t="n">
        <v>2304.368804120033</v>
      </c>
      <c r="AD11" s="4" t="n">
        <v>2516.113225118315</v>
      </c>
      <c r="AE11" s="4" t="n">
        <v>2375.037613366744</v>
      </c>
      <c r="AF11" s="14">
        <f>AVERAGE(B11:AE11)</f>
        <v/>
      </c>
      <c r="AG11" s="14">
        <f>STDEV(B11:AE11)</f>
        <v/>
      </c>
      <c r="AH11" s="14">
        <f>MIN(B11:AE11)</f>
        <v/>
      </c>
      <c r="AI11" s="14">
        <f>MAX(B11:AE11)</f>
        <v/>
      </c>
    </row>
    <row r="12">
      <c r="A12" s="15" t="inlineStr">
        <is>
          <t>F10 - Composition 2</t>
        </is>
      </c>
      <c r="B12" s="8" t="n">
        <v>2624.112055992699</v>
      </c>
      <c r="C12" s="8" t="n">
        <v>2630.103106368782</v>
      </c>
      <c r="D12" s="8" t="n">
        <v>2629.884121646029</v>
      </c>
      <c r="E12" s="8" t="n">
        <v>2628.155256210339</v>
      </c>
      <c r="F12" s="8" t="n">
        <v>2625.514147540115</v>
      </c>
      <c r="G12" s="8" t="n">
        <v>2627.91941492664</v>
      </c>
      <c r="H12" s="8" t="n">
        <v>2625.941452122996</v>
      </c>
      <c r="I12" s="8" t="n">
        <v>2625.316417320637</v>
      </c>
      <c r="J12" s="8" t="n">
        <v>2633.918827405399</v>
      </c>
      <c r="K12" s="8" t="n">
        <v>2630.707881185127</v>
      </c>
      <c r="L12" s="8" t="n">
        <v>2628.612866757715</v>
      </c>
      <c r="M12" s="8" t="n">
        <v>2634.443459010084</v>
      </c>
      <c r="N12" s="8" t="n">
        <v>2636.872104968443</v>
      </c>
      <c r="O12" s="8" t="n">
        <v>2635.935133002065</v>
      </c>
      <c r="P12" s="8" t="n">
        <v>2628.903410288913</v>
      </c>
      <c r="Q12" s="8" t="n">
        <v>2635.082854883137</v>
      </c>
      <c r="R12" s="8" t="n">
        <v>2623.414907756083</v>
      </c>
      <c r="S12" s="8" t="n">
        <v>2628.870877428848</v>
      </c>
      <c r="T12" s="8" t="n">
        <v>2631.747948591898</v>
      </c>
      <c r="U12" s="8" t="n">
        <v>2626.412942086477</v>
      </c>
      <c r="V12" s="8" t="n">
        <v>2629.681435653506</v>
      </c>
      <c r="W12" s="8" t="n">
        <v>2627.949111180134</v>
      </c>
      <c r="X12" s="8" t="n">
        <v>2624.798708861438</v>
      </c>
      <c r="Y12" s="8" t="n">
        <v>2630.277897383314</v>
      </c>
      <c r="Z12" s="8" t="n">
        <v>2623.779567792526</v>
      </c>
      <c r="AA12" s="8" t="n">
        <v>2626.605150267518</v>
      </c>
      <c r="AB12" s="8" t="n">
        <v>2751.466995099225</v>
      </c>
      <c r="AC12" s="8" t="n">
        <v>2628.30622102076</v>
      </c>
      <c r="AD12" s="8" t="n">
        <v>2626.324294325309</v>
      </c>
      <c r="AE12" s="8" t="n">
        <v>2625.769937351196</v>
      </c>
      <c r="AF12" s="14">
        <f>AVERAGE(B12:AE12)</f>
        <v/>
      </c>
      <c r="AG12" s="14">
        <f>STDEV(B12:AE12)</f>
        <v/>
      </c>
      <c r="AH12" s="14">
        <f>MIN(B12:AE12)</f>
        <v/>
      </c>
      <c r="AI12" s="14">
        <f>MAX(B12:AE12)</f>
        <v/>
      </c>
    </row>
    <row r="13">
      <c r="A13" s="13" t="inlineStr">
        <is>
          <t>F11 - Composition 3</t>
        </is>
      </c>
      <c r="B13" s="4" t="n">
        <v>2601.566296411168</v>
      </c>
      <c r="C13" s="4" t="n">
        <v>2604.225326361059</v>
      </c>
      <c r="D13" s="4" t="n">
        <v>2602.157395048499</v>
      </c>
      <c r="E13" s="4" t="n">
        <v>2602.634505984717</v>
      </c>
      <c r="F13" s="4" t="n">
        <v>2616.492279450525</v>
      </c>
      <c r="G13" s="4" t="n">
        <v>2602.919870502931</v>
      </c>
      <c r="H13" s="4" t="n">
        <v>2603.469473132985</v>
      </c>
      <c r="I13" s="4" t="n">
        <v>2618.033208566118</v>
      </c>
      <c r="J13" s="4" t="n">
        <v>2602.43866456828</v>
      </c>
      <c r="K13" s="4" t="n">
        <v>2605.879094134668</v>
      </c>
      <c r="L13" s="4" t="n">
        <v>2610.606772880424</v>
      </c>
      <c r="M13" s="4" t="n">
        <v>2602.320763314845</v>
      </c>
      <c r="N13" s="4" t="n">
        <v>2602.938688156172</v>
      </c>
      <c r="O13" s="4" t="n">
        <v>2606.842049761417</v>
      </c>
      <c r="P13" s="4" t="n">
        <v>2603.964216140795</v>
      </c>
      <c r="Q13" s="4" t="n">
        <v>2601.464571282288</v>
      </c>
      <c r="R13" s="4" t="n">
        <v>2604.47396301658</v>
      </c>
      <c r="S13" s="4" t="n">
        <v>2603.814982526348</v>
      </c>
      <c r="T13" s="4" t="n">
        <v>2604.215190851144</v>
      </c>
      <c r="U13" s="4" t="n">
        <v>2622.66273382562</v>
      </c>
      <c r="V13" s="4" t="n">
        <v>2601.319994148277</v>
      </c>
      <c r="W13" s="4" t="n">
        <v>2605.890774758822</v>
      </c>
      <c r="X13" s="4" t="n">
        <v>2602.390553721258</v>
      </c>
      <c r="Y13" s="4" t="n">
        <v>2604.610115345456</v>
      </c>
      <c r="Z13" s="4" t="n">
        <v>2601.401367629295</v>
      </c>
      <c r="AA13" s="4" t="n">
        <v>2605.260168418212</v>
      </c>
      <c r="AB13" s="4" t="n">
        <v>2619.653576914802</v>
      </c>
      <c r="AC13" s="4" t="n">
        <v>2601.728297630881</v>
      </c>
      <c r="AD13" s="4" t="n">
        <v>2603.674353305375</v>
      </c>
      <c r="AE13" s="4" t="n">
        <v>2612.56094614802</v>
      </c>
      <c r="AF13" s="14">
        <f>AVERAGE(B13:AE13)</f>
        <v/>
      </c>
      <c r="AG13" s="14">
        <f>STDEV(B13:AE13)</f>
        <v/>
      </c>
      <c r="AH13" s="14">
        <f>MIN(B13:AE13)</f>
        <v/>
      </c>
      <c r="AI13" s="14">
        <f>MAX(B13:AE13)</f>
        <v/>
      </c>
    </row>
    <row r="14">
      <c r="A14" s="15" t="inlineStr">
        <is>
          <t>F12 - Composition 4</t>
        </is>
      </c>
      <c r="B14" s="8" t="n">
        <v>2873.675668038233</v>
      </c>
      <c r="C14" s="8" t="n">
        <v>2871.49425486583</v>
      </c>
      <c r="D14" s="8" t="n">
        <v>2870.730595407148</v>
      </c>
      <c r="E14" s="8" t="n">
        <v>2869.037937017383</v>
      </c>
      <c r="F14" s="8" t="n">
        <v>2871.533708172126</v>
      </c>
      <c r="G14" s="8" t="n">
        <v>2875.617276819583</v>
      </c>
      <c r="H14" s="8" t="n">
        <v>2869.794016677204</v>
      </c>
      <c r="I14" s="8" t="n">
        <v>2868.276018557071</v>
      </c>
      <c r="J14" s="8" t="n">
        <v>2871.351427911023</v>
      </c>
      <c r="K14" s="8" t="n">
        <v>2868.965040039346</v>
      </c>
      <c r="L14" s="8" t="n">
        <v>2869.047470678556</v>
      </c>
      <c r="M14" s="8" t="n">
        <v>2868.885579727789</v>
      </c>
      <c r="N14" s="8" t="n">
        <v>2871.351365300758</v>
      </c>
      <c r="O14" s="8" t="n">
        <v>2868.184325389537</v>
      </c>
      <c r="P14" s="8" t="n">
        <v>2868.54841725601</v>
      </c>
      <c r="Q14" s="8" t="n">
        <v>2871.567646696346</v>
      </c>
      <c r="R14" s="8" t="n">
        <v>2870.715412686682</v>
      </c>
      <c r="S14" s="8" t="n">
        <v>2871.625537364383</v>
      </c>
      <c r="T14" s="8" t="n">
        <v>2869.030384820519</v>
      </c>
      <c r="U14" s="8" t="n">
        <v>2868.557294622509</v>
      </c>
      <c r="V14" s="8" t="n">
        <v>2868.284262551274</v>
      </c>
      <c r="W14" s="8" t="n">
        <v>2868.188086260079</v>
      </c>
      <c r="X14" s="8" t="n">
        <v>2870.859756421718</v>
      </c>
      <c r="Y14" s="8" t="n">
        <v>2868.971779639095</v>
      </c>
      <c r="Z14" s="8" t="n">
        <v>2868.99828193002</v>
      </c>
      <c r="AA14" s="8" t="n">
        <v>2868.433706703021</v>
      </c>
      <c r="AB14" s="8" t="n">
        <v>2868.40275895955</v>
      </c>
      <c r="AC14" s="8" t="n">
        <v>2870.68971869149</v>
      </c>
      <c r="AD14" s="8" t="n">
        <v>2869.172187008212</v>
      </c>
      <c r="AE14" s="8" t="n">
        <v>2868.193092913665</v>
      </c>
      <c r="AF14" s="14">
        <f>AVERAGE(B14:AE14)</f>
        <v/>
      </c>
      <c r="AG14" s="14">
        <f>STDEV(B14:AE14)</f>
        <v/>
      </c>
      <c r="AH14" s="14">
        <f>MIN(B14:AE14)</f>
        <v/>
      </c>
      <c r="AI14" s="14">
        <f>MAX(B14:AE14)</f>
        <v/>
      </c>
    </row>
  </sheetData>
  <mergeCells count="1">
    <mergeCell ref="A1:A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M14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</cols>
  <sheetData>
    <row r="1" ht="24" customHeight="1">
      <c r="A1" s="1" t="inlineStr">
        <is>
          <t>Raw Run Results — CEC 2022 (D=20) — 30 Independent Runs</t>
        </is>
      </c>
    </row>
    <row r="2" ht="20" customHeight="1">
      <c r="A2" s="2" t="inlineStr">
        <is>
          <t>Function</t>
        </is>
      </c>
      <c r="B2" s="2" t="inlineStr">
        <is>
          <t>Run 1</t>
        </is>
      </c>
      <c r="C2" s="2" t="inlineStr">
        <is>
          <t>Run 2</t>
        </is>
      </c>
      <c r="D2" s="2" t="inlineStr">
        <is>
          <t>Run 3</t>
        </is>
      </c>
      <c r="E2" s="2" t="inlineStr">
        <is>
          <t>Run 4</t>
        </is>
      </c>
      <c r="F2" s="2" t="inlineStr">
        <is>
          <t>Run 5</t>
        </is>
      </c>
      <c r="G2" s="2" t="inlineStr">
        <is>
          <t>Run 6</t>
        </is>
      </c>
      <c r="H2" s="2" t="inlineStr">
        <is>
          <t>Run 7</t>
        </is>
      </c>
      <c r="I2" s="2" t="inlineStr">
        <is>
          <t>Run 8</t>
        </is>
      </c>
      <c r="J2" s="2" t="inlineStr">
        <is>
          <t>Run 9</t>
        </is>
      </c>
      <c r="K2" s="2" t="inlineStr">
        <is>
          <t>Run 10</t>
        </is>
      </c>
      <c r="L2" s="2" t="inlineStr">
        <is>
          <t>Run 11</t>
        </is>
      </c>
      <c r="M2" s="2" t="inlineStr">
        <is>
          <t>Run 12</t>
        </is>
      </c>
      <c r="N2" s="2" t="inlineStr">
        <is>
          <t>Run 13</t>
        </is>
      </c>
      <c r="O2" s="2" t="inlineStr">
        <is>
          <t>Run 14</t>
        </is>
      </c>
      <c r="P2" s="2" t="inlineStr">
        <is>
          <t>Run 15</t>
        </is>
      </c>
      <c r="Q2" s="2" t="inlineStr">
        <is>
          <t>Run 16</t>
        </is>
      </c>
      <c r="R2" s="2" t="inlineStr">
        <is>
          <t>Run 17</t>
        </is>
      </c>
      <c r="S2" s="2" t="inlineStr">
        <is>
          <t>Run 18</t>
        </is>
      </c>
      <c r="T2" s="2" t="inlineStr">
        <is>
          <t>Run 19</t>
        </is>
      </c>
      <c r="U2" s="2" t="inlineStr">
        <is>
          <t>Run 20</t>
        </is>
      </c>
      <c r="V2" s="2" t="inlineStr">
        <is>
          <t>Run 21</t>
        </is>
      </c>
      <c r="W2" s="2" t="inlineStr">
        <is>
          <t>Run 22</t>
        </is>
      </c>
      <c r="X2" s="2" t="inlineStr">
        <is>
          <t>Run 23</t>
        </is>
      </c>
      <c r="Y2" s="2" t="inlineStr">
        <is>
          <t>Run 24</t>
        </is>
      </c>
      <c r="Z2" s="2" t="inlineStr">
        <is>
          <t>Run 25</t>
        </is>
      </c>
      <c r="AA2" s="2" t="inlineStr">
        <is>
          <t>Run 26</t>
        </is>
      </c>
      <c r="AB2" s="2" t="inlineStr">
        <is>
          <t>Run 27</t>
        </is>
      </c>
      <c r="AC2" s="2" t="inlineStr">
        <is>
          <t>Run 28</t>
        </is>
      </c>
      <c r="AD2" s="2" t="inlineStr">
        <is>
          <t>Run 29</t>
        </is>
      </c>
      <c r="AE2" s="2" t="inlineStr">
        <is>
          <t>Run 30</t>
        </is>
      </c>
      <c r="AF2" s="2" t="inlineStr">
        <is>
          <t>Mean</t>
        </is>
      </c>
      <c r="AG2" s="2" t="inlineStr">
        <is>
          <t>Std</t>
        </is>
      </c>
      <c r="AH2" s="2" t="inlineStr">
        <is>
          <t>Best</t>
        </is>
      </c>
      <c r="AI2" s="2" t="inlineStr">
        <is>
          <t>Worst</t>
        </is>
      </c>
    </row>
    <row r="3">
      <c r="A3" s="13" t="inlineStr">
        <is>
          <t>F1 - Zakharov</t>
        </is>
      </c>
      <c r="B3" s="4" t="n">
        <v/>
      </c>
      <c r="C3" s="4" t="n">
        <v/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4" t="n">
        <v/>
      </c>
      <c r="K3" s="4" t="n">
        <v/>
      </c>
      <c r="L3" s="4" t="n">
        <v/>
      </c>
      <c r="M3" s="4" t="n">
        <v/>
      </c>
      <c r="N3" s="4" t="n">
        <v/>
      </c>
      <c r="O3" s="4" t="n">
        <v/>
      </c>
      <c r="P3" s="4" t="n">
        <v/>
      </c>
      <c r="Q3" s="4" t="n">
        <v/>
      </c>
      <c r="R3" s="4" t="n">
        <v/>
      </c>
      <c r="S3" s="4" t="n">
        <v/>
      </c>
      <c r="T3" s="4" t="n">
        <v/>
      </c>
      <c r="U3" s="4" t="n">
        <v/>
      </c>
      <c r="V3" s="4" t="n">
        <v/>
      </c>
      <c r="W3" s="4" t="n">
        <v/>
      </c>
      <c r="X3" s="4" t="n">
        <v/>
      </c>
      <c r="Y3" s="4" t="n">
        <v/>
      </c>
      <c r="Z3" s="4" t="n">
        <v/>
      </c>
      <c r="AA3" s="4" t="n">
        <v/>
      </c>
      <c r="AB3" s="4" t="n">
        <v/>
      </c>
      <c r="AC3" s="4" t="n">
        <v/>
      </c>
      <c r="AD3" s="4" t="n">
        <v/>
      </c>
      <c r="AE3" s="4" t="n">
        <v/>
      </c>
      <c r="AF3" s="14">
        <f>AVERAGE(B3:AE3)</f>
        <v/>
      </c>
      <c r="AG3" s="14">
        <f>STDEV(B3:AE3)</f>
        <v/>
      </c>
      <c r="AH3" s="14">
        <f>MIN(B3:AE3)</f>
        <v/>
      </c>
      <c r="AI3" s="14">
        <f>MAX(B3:AE3)</f>
        <v/>
      </c>
    </row>
    <row r="4">
      <c r="A4" s="15" t="inlineStr">
        <is>
          <t>F2 - Rosenbrock</t>
        </is>
      </c>
      <c r="B4" s="8" t="n">
        <v/>
      </c>
      <c r="C4" s="8" t="n">
        <v/>
      </c>
      <c r="D4" s="8" t="n">
        <v/>
      </c>
      <c r="E4" s="8" t="n">
        <v/>
      </c>
      <c r="F4" s="8" t="n">
        <v/>
      </c>
      <c r="G4" s="8" t="n">
        <v/>
      </c>
      <c r="H4" s="8" t="n">
        <v/>
      </c>
      <c r="I4" s="8" t="n">
        <v/>
      </c>
      <c r="J4" s="8" t="n">
        <v/>
      </c>
      <c r="K4" s="8" t="n">
        <v/>
      </c>
      <c r="L4" s="8" t="n">
        <v/>
      </c>
      <c r="M4" s="8" t="n">
        <v/>
      </c>
      <c r="N4" s="8" t="n">
        <v/>
      </c>
      <c r="O4" s="8" t="n">
        <v/>
      </c>
      <c r="P4" s="8" t="n">
        <v/>
      </c>
      <c r="Q4" s="8" t="n">
        <v/>
      </c>
      <c r="R4" s="8" t="n">
        <v/>
      </c>
      <c r="S4" s="8" t="n">
        <v/>
      </c>
      <c r="T4" s="8" t="n">
        <v/>
      </c>
      <c r="U4" s="8" t="n">
        <v/>
      </c>
      <c r="V4" s="8" t="n">
        <v/>
      </c>
      <c r="W4" s="8" t="n">
        <v/>
      </c>
      <c r="X4" s="8" t="n">
        <v/>
      </c>
      <c r="Y4" s="8" t="n">
        <v/>
      </c>
      <c r="Z4" s="8" t="n">
        <v/>
      </c>
      <c r="AA4" s="8" t="n">
        <v/>
      </c>
      <c r="AB4" s="8" t="n">
        <v/>
      </c>
      <c r="AC4" s="8" t="n">
        <v/>
      </c>
      <c r="AD4" s="8" t="n">
        <v/>
      </c>
      <c r="AE4" s="8" t="n">
        <v/>
      </c>
      <c r="AF4" s="14">
        <f>AVERAGE(B4:AE4)</f>
        <v/>
      </c>
      <c r="AG4" s="14">
        <f>STDEV(B4:AE4)</f>
        <v/>
      </c>
      <c r="AH4" s="14">
        <f>MIN(B4:AE4)</f>
        <v/>
      </c>
      <c r="AI4" s="14">
        <f>MAX(B4:AE4)</f>
        <v/>
      </c>
    </row>
    <row r="5">
      <c r="A5" s="13" t="inlineStr">
        <is>
          <t>F3 - Schaffer f6</t>
        </is>
      </c>
      <c r="B5" s="4" t="n">
        <v/>
      </c>
      <c r="C5" s="4" t="n">
        <v/>
      </c>
      <c r="D5" s="4" t="n">
        <v/>
      </c>
      <c r="E5" s="4" t="n">
        <v/>
      </c>
      <c r="F5" s="4" t="n">
        <v/>
      </c>
      <c r="G5" s="4" t="n">
        <v/>
      </c>
      <c r="H5" s="4" t="n">
        <v/>
      </c>
      <c r="I5" s="4" t="n">
        <v/>
      </c>
      <c r="J5" s="4" t="n">
        <v/>
      </c>
      <c r="K5" s="4" t="n">
        <v/>
      </c>
      <c r="L5" s="4" t="n">
        <v/>
      </c>
      <c r="M5" s="4" t="n">
        <v/>
      </c>
      <c r="N5" s="4" t="n">
        <v/>
      </c>
      <c r="O5" s="4" t="n">
        <v/>
      </c>
      <c r="P5" s="4" t="n">
        <v/>
      </c>
      <c r="Q5" s="4" t="n">
        <v/>
      </c>
      <c r="R5" s="4" t="n">
        <v/>
      </c>
      <c r="S5" s="4" t="n">
        <v/>
      </c>
      <c r="T5" s="4" t="n">
        <v/>
      </c>
      <c r="U5" s="4" t="n">
        <v/>
      </c>
      <c r="V5" s="4" t="n">
        <v/>
      </c>
      <c r="W5" s="4" t="n">
        <v/>
      </c>
      <c r="X5" s="4" t="n">
        <v/>
      </c>
      <c r="Y5" s="4" t="n">
        <v/>
      </c>
      <c r="Z5" s="4" t="n">
        <v/>
      </c>
      <c r="AA5" s="4" t="n">
        <v/>
      </c>
      <c r="AB5" s="4" t="n">
        <v/>
      </c>
      <c r="AC5" s="4" t="n">
        <v/>
      </c>
      <c r="AD5" s="4" t="n">
        <v/>
      </c>
      <c r="AE5" s="4" t="n">
        <v/>
      </c>
      <c r="AF5" s="14">
        <f>AVERAGE(B5:AE5)</f>
        <v/>
      </c>
      <c r="AG5" s="14">
        <f>STDEV(B5:AE5)</f>
        <v/>
      </c>
      <c r="AH5" s="14">
        <f>MIN(B5:AE5)</f>
        <v/>
      </c>
      <c r="AI5" s="14">
        <f>MAX(B5:AE5)</f>
        <v/>
      </c>
    </row>
    <row r="6">
      <c r="A6" s="15" t="inlineStr">
        <is>
          <t>F4 - Rastrigin</t>
        </is>
      </c>
      <c r="B6" s="8" t="n">
        <v/>
      </c>
      <c r="C6" s="8" t="n">
        <v/>
      </c>
      <c r="D6" s="8" t="n">
        <v/>
      </c>
      <c r="E6" s="8" t="n">
        <v/>
      </c>
      <c r="F6" s="8" t="n">
        <v/>
      </c>
      <c r="G6" s="8" t="n">
        <v/>
      </c>
      <c r="H6" s="8" t="n">
        <v/>
      </c>
      <c r="I6" s="8" t="n">
        <v/>
      </c>
      <c r="J6" s="8" t="n">
        <v/>
      </c>
      <c r="K6" s="8" t="n">
        <v/>
      </c>
      <c r="L6" s="8" t="n">
        <v/>
      </c>
      <c r="M6" s="8" t="n">
        <v/>
      </c>
      <c r="N6" s="8" t="n">
        <v/>
      </c>
      <c r="O6" s="8" t="n">
        <v/>
      </c>
      <c r="P6" s="8" t="n">
        <v/>
      </c>
      <c r="Q6" s="8" t="n">
        <v/>
      </c>
      <c r="R6" s="8" t="n">
        <v/>
      </c>
      <c r="S6" s="8" t="n">
        <v/>
      </c>
      <c r="T6" s="8" t="n">
        <v/>
      </c>
      <c r="U6" s="8" t="n">
        <v/>
      </c>
      <c r="V6" s="8" t="n">
        <v/>
      </c>
      <c r="W6" s="8" t="n">
        <v/>
      </c>
      <c r="X6" s="8" t="n">
        <v/>
      </c>
      <c r="Y6" s="8" t="n">
        <v/>
      </c>
      <c r="Z6" s="8" t="n">
        <v/>
      </c>
      <c r="AA6" s="8" t="n">
        <v/>
      </c>
      <c r="AB6" s="8" t="n">
        <v/>
      </c>
      <c r="AC6" s="8" t="n">
        <v/>
      </c>
      <c r="AD6" s="8" t="n">
        <v/>
      </c>
      <c r="AE6" s="8" t="n">
        <v/>
      </c>
      <c r="AF6" s="14">
        <f>AVERAGE(B6:AE6)</f>
        <v/>
      </c>
      <c r="AG6" s="14">
        <f>STDEV(B6:AE6)</f>
        <v/>
      </c>
      <c r="AH6" s="14">
        <f>MIN(B6:AE6)</f>
        <v/>
      </c>
      <c r="AI6" s="14">
        <f>MAX(B6:AE6)</f>
        <v/>
      </c>
    </row>
    <row r="7">
      <c r="A7" s="13" t="inlineStr">
        <is>
          <t>F5 - Levy</t>
        </is>
      </c>
      <c r="B7" s="4" t="n">
        <v/>
      </c>
      <c r="C7" s="4" t="n">
        <v/>
      </c>
      <c r="D7" s="4" t="n">
        <v/>
      </c>
      <c r="E7" s="4" t="n">
        <v/>
      </c>
      <c r="F7" s="4" t="n">
        <v/>
      </c>
      <c r="G7" s="4" t="n">
        <v/>
      </c>
      <c r="H7" s="4" t="n">
        <v/>
      </c>
      <c r="I7" s="4" t="n">
        <v/>
      </c>
      <c r="J7" s="4" t="n">
        <v/>
      </c>
      <c r="K7" s="4" t="n">
        <v/>
      </c>
      <c r="L7" s="4" t="n">
        <v/>
      </c>
      <c r="M7" s="4" t="n">
        <v/>
      </c>
      <c r="N7" s="4" t="n">
        <v/>
      </c>
      <c r="O7" s="4" t="n">
        <v/>
      </c>
      <c r="P7" s="4" t="n">
        <v/>
      </c>
      <c r="Q7" s="4" t="n">
        <v/>
      </c>
      <c r="R7" s="4" t="n">
        <v/>
      </c>
      <c r="S7" s="4" t="n">
        <v/>
      </c>
      <c r="T7" s="4" t="n">
        <v/>
      </c>
      <c r="U7" s="4" t="n">
        <v/>
      </c>
      <c r="V7" s="4" t="n">
        <v/>
      </c>
      <c r="W7" s="4" t="n">
        <v/>
      </c>
      <c r="X7" s="4" t="n">
        <v/>
      </c>
      <c r="Y7" s="4" t="n">
        <v/>
      </c>
      <c r="Z7" s="4" t="n">
        <v/>
      </c>
      <c r="AA7" s="4" t="n">
        <v/>
      </c>
      <c r="AB7" s="4" t="n">
        <v/>
      </c>
      <c r="AC7" s="4" t="n">
        <v/>
      </c>
      <c r="AD7" s="4" t="n">
        <v/>
      </c>
      <c r="AE7" s="4" t="n">
        <v/>
      </c>
      <c r="AF7" s="14">
        <f>AVERAGE(B7:AE7)</f>
        <v/>
      </c>
      <c r="AG7" s="14">
        <f>STDEV(B7:AE7)</f>
        <v/>
      </c>
      <c r="AH7" s="14">
        <f>MIN(B7:AE7)</f>
        <v/>
      </c>
      <c r="AI7" s="14">
        <f>MAX(B7:AE7)</f>
        <v/>
      </c>
    </row>
    <row r="8">
      <c r="A8" s="15" t="inlineStr">
        <is>
          <t>F6 - Hybrid 1</t>
        </is>
      </c>
      <c r="B8" s="8" t="n">
        <v/>
      </c>
      <c r="C8" s="8" t="n">
        <v/>
      </c>
      <c r="D8" s="8" t="n">
        <v/>
      </c>
      <c r="E8" s="8" t="n">
        <v/>
      </c>
      <c r="F8" s="8" t="n">
        <v/>
      </c>
      <c r="G8" s="8" t="n">
        <v/>
      </c>
      <c r="H8" s="8" t="n">
        <v/>
      </c>
      <c r="I8" s="8" t="n">
        <v/>
      </c>
      <c r="J8" s="8" t="n">
        <v/>
      </c>
      <c r="K8" s="8" t="n">
        <v/>
      </c>
      <c r="L8" s="8" t="n">
        <v/>
      </c>
      <c r="M8" s="8" t="n">
        <v/>
      </c>
      <c r="N8" s="8" t="n">
        <v/>
      </c>
      <c r="O8" s="8" t="n">
        <v/>
      </c>
      <c r="P8" s="8" t="n">
        <v/>
      </c>
      <c r="Q8" s="8" t="n">
        <v/>
      </c>
      <c r="R8" s="8" t="n">
        <v/>
      </c>
      <c r="S8" s="8" t="n">
        <v/>
      </c>
      <c r="T8" s="8" t="n">
        <v/>
      </c>
      <c r="U8" s="8" t="n">
        <v/>
      </c>
      <c r="V8" s="8" t="n">
        <v/>
      </c>
      <c r="W8" s="8" t="n">
        <v/>
      </c>
      <c r="X8" s="8" t="n">
        <v/>
      </c>
      <c r="Y8" s="8" t="n">
        <v/>
      </c>
      <c r="Z8" s="8" t="n">
        <v/>
      </c>
      <c r="AA8" s="8" t="n">
        <v/>
      </c>
      <c r="AB8" s="8" t="n">
        <v/>
      </c>
      <c r="AC8" s="8" t="n">
        <v/>
      </c>
      <c r="AD8" s="8" t="n">
        <v/>
      </c>
      <c r="AE8" s="8" t="n">
        <v/>
      </c>
      <c r="AF8" s="14">
        <f>AVERAGE(B8:AE8)</f>
        <v/>
      </c>
      <c r="AG8" s="14">
        <f>STDEV(B8:AE8)</f>
        <v/>
      </c>
      <c r="AH8" s="14">
        <f>MIN(B8:AE8)</f>
        <v/>
      </c>
      <c r="AI8" s="14">
        <f>MAX(B8:AE8)</f>
        <v/>
      </c>
    </row>
    <row r="9">
      <c r="A9" s="13" t="inlineStr">
        <is>
          <t>F7 - Hybrid 2</t>
        </is>
      </c>
      <c r="B9" s="4" t="n">
        <v/>
      </c>
      <c r="C9" s="4" t="n">
        <v/>
      </c>
      <c r="D9" s="4" t="n">
        <v/>
      </c>
      <c r="E9" s="4" t="n">
        <v/>
      </c>
      <c r="F9" s="4" t="n">
        <v/>
      </c>
      <c r="G9" s="4" t="n">
        <v/>
      </c>
      <c r="H9" s="4" t="n">
        <v/>
      </c>
      <c r="I9" s="4" t="n">
        <v/>
      </c>
      <c r="J9" s="4" t="n">
        <v/>
      </c>
      <c r="K9" s="4" t="n">
        <v/>
      </c>
      <c r="L9" s="4" t="n">
        <v/>
      </c>
      <c r="M9" s="4" t="n">
        <v/>
      </c>
      <c r="N9" s="4" t="n">
        <v/>
      </c>
      <c r="O9" s="4" t="n">
        <v/>
      </c>
      <c r="P9" s="4" t="n">
        <v/>
      </c>
      <c r="Q9" s="4" t="n">
        <v/>
      </c>
      <c r="R9" s="4" t="n">
        <v/>
      </c>
      <c r="S9" s="4" t="n">
        <v/>
      </c>
      <c r="T9" s="4" t="n">
        <v/>
      </c>
      <c r="U9" s="4" t="n">
        <v/>
      </c>
      <c r="V9" s="4" t="n">
        <v/>
      </c>
      <c r="W9" s="4" t="n">
        <v/>
      </c>
      <c r="X9" s="4" t="n">
        <v/>
      </c>
      <c r="Y9" s="4" t="n">
        <v/>
      </c>
      <c r="Z9" s="4" t="n">
        <v/>
      </c>
      <c r="AA9" s="4" t="n">
        <v/>
      </c>
      <c r="AB9" s="4" t="n">
        <v/>
      </c>
      <c r="AC9" s="4" t="n">
        <v/>
      </c>
      <c r="AD9" s="4" t="n">
        <v/>
      </c>
      <c r="AE9" s="4" t="n">
        <v/>
      </c>
      <c r="AF9" s="14">
        <f>AVERAGE(B9:AE9)</f>
        <v/>
      </c>
      <c r="AG9" s="14">
        <f>STDEV(B9:AE9)</f>
        <v/>
      </c>
      <c r="AH9" s="14">
        <f>MIN(B9:AE9)</f>
        <v/>
      </c>
      <c r="AI9" s="14">
        <f>MAX(B9:AE9)</f>
        <v/>
      </c>
    </row>
    <row r="10">
      <c r="A10" s="15" t="inlineStr">
        <is>
          <t>F8 - Hybrid 3</t>
        </is>
      </c>
      <c r="B10" s="8" t="n">
        <v/>
      </c>
      <c r="C10" s="8" t="n">
        <v/>
      </c>
      <c r="D10" s="8" t="n">
        <v/>
      </c>
      <c r="E10" s="8" t="n">
        <v/>
      </c>
      <c r="F10" s="8" t="n">
        <v/>
      </c>
      <c r="G10" s="8" t="n">
        <v/>
      </c>
      <c r="H10" s="8" t="n">
        <v/>
      </c>
      <c r="I10" s="8" t="n">
        <v/>
      </c>
      <c r="J10" s="8" t="n">
        <v/>
      </c>
      <c r="K10" s="8" t="n">
        <v/>
      </c>
      <c r="L10" s="8" t="n">
        <v/>
      </c>
      <c r="M10" s="8" t="n">
        <v/>
      </c>
      <c r="N10" s="8" t="n">
        <v/>
      </c>
      <c r="O10" s="8" t="n">
        <v/>
      </c>
      <c r="P10" s="8" t="n">
        <v/>
      </c>
      <c r="Q10" s="8" t="n">
        <v/>
      </c>
      <c r="R10" s="8" t="n">
        <v/>
      </c>
      <c r="S10" s="8" t="n">
        <v/>
      </c>
      <c r="T10" s="8" t="n">
        <v/>
      </c>
      <c r="U10" s="8" t="n">
        <v/>
      </c>
      <c r="V10" s="8" t="n">
        <v/>
      </c>
      <c r="W10" s="8" t="n">
        <v/>
      </c>
      <c r="X10" s="8" t="n">
        <v/>
      </c>
      <c r="Y10" s="8" t="n">
        <v/>
      </c>
      <c r="Z10" s="8" t="n">
        <v/>
      </c>
      <c r="AA10" s="8" t="n">
        <v/>
      </c>
      <c r="AB10" s="8" t="n">
        <v/>
      </c>
      <c r="AC10" s="8" t="n">
        <v/>
      </c>
      <c r="AD10" s="8" t="n">
        <v/>
      </c>
      <c r="AE10" s="8" t="n">
        <v/>
      </c>
      <c r="AF10" s="14">
        <f>AVERAGE(B10:AE10)</f>
        <v/>
      </c>
      <c r="AG10" s="14">
        <f>STDEV(B10:AE10)</f>
        <v/>
      </c>
      <c r="AH10" s="14">
        <f>MIN(B10:AE10)</f>
        <v/>
      </c>
      <c r="AI10" s="14">
        <f>MAX(B10:AE10)</f>
        <v/>
      </c>
    </row>
    <row r="11">
      <c r="A11" s="13" t="inlineStr">
        <is>
          <t>F9 - Composition 1</t>
        </is>
      </c>
      <c r="B11" s="4" t="n">
        <v/>
      </c>
      <c r="C11" s="4" t="n">
        <v/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4" t="n">
        <v/>
      </c>
      <c r="K11" s="4" t="n">
        <v/>
      </c>
      <c r="L11" s="4" t="n">
        <v/>
      </c>
      <c r="M11" s="4" t="n">
        <v/>
      </c>
      <c r="N11" s="4" t="n">
        <v/>
      </c>
      <c r="O11" s="4" t="n">
        <v/>
      </c>
      <c r="P11" s="4" t="n">
        <v/>
      </c>
      <c r="Q11" s="4" t="n">
        <v/>
      </c>
      <c r="R11" s="4" t="n">
        <v/>
      </c>
      <c r="S11" s="4" t="n">
        <v/>
      </c>
      <c r="T11" s="4" t="n">
        <v/>
      </c>
      <c r="U11" s="4" t="n">
        <v/>
      </c>
      <c r="V11" s="4" t="n">
        <v/>
      </c>
      <c r="W11" s="4" t="n">
        <v/>
      </c>
      <c r="X11" s="4" t="n">
        <v/>
      </c>
      <c r="Y11" s="4" t="n">
        <v/>
      </c>
      <c r="Z11" s="4" t="n">
        <v/>
      </c>
      <c r="AA11" s="4" t="n">
        <v/>
      </c>
      <c r="AB11" s="4" t="n">
        <v/>
      </c>
      <c r="AC11" s="4" t="n">
        <v/>
      </c>
      <c r="AD11" s="4" t="n">
        <v/>
      </c>
      <c r="AE11" s="4" t="n">
        <v/>
      </c>
      <c r="AF11" s="14">
        <f>AVERAGE(B11:AE11)</f>
        <v/>
      </c>
      <c r="AG11" s="14">
        <f>STDEV(B11:AE11)</f>
        <v/>
      </c>
      <c r="AH11" s="14">
        <f>MIN(B11:AE11)</f>
        <v/>
      </c>
      <c r="AI11" s="14">
        <f>MAX(B11:AE11)</f>
        <v/>
      </c>
    </row>
    <row r="12">
      <c r="A12" s="15" t="inlineStr">
        <is>
          <t>F10 - Composition 2</t>
        </is>
      </c>
      <c r="B12" s="8" t="n">
        <v/>
      </c>
      <c r="C12" s="8" t="n">
        <v/>
      </c>
      <c r="D12" s="8" t="n">
        <v/>
      </c>
      <c r="E12" s="8" t="n">
        <v/>
      </c>
      <c r="F12" s="8" t="n">
        <v/>
      </c>
      <c r="G12" s="8" t="n">
        <v/>
      </c>
      <c r="H12" s="8" t="n">
        <v/>
      </c>
      <c r="I12" s="8" t="n">
        <v/>
      </c>
      <c r="J12" s="8" t="n">
        <v/>
      </c>
      <c r="K12" s="8" t="n">
        <v/>
      </c>
      <c r="L12" s="8" t="n">
        <v/>
      </c>
      <c r="M12" s="8" t="n">
        <v/>
      </c>
      <c r="N12" s="8" t="n">
        <v/>
      </c>
      <c r="O12" s="8" t="n">
        <v/>
      </c>
      <c r="P12" s="8" t="n">
        <v/>
      </c>
      <c r="Q12" s="8" t="n">
        <v/>
      </c>
      <c r="R12" s="8" t="n">
        <v/>
      </c>
      <c r="S12" s="8" t="n">
        <v/>
      </c>
      <c r="T12" s="8" t="n">
        <v/>
      </c>
      <c r="U12" s="8" t="n">
        <v/>
      </c>
      <c r="V12" s="8" t="n">
        <v/>
      </c>
      <c r="W12" s="8" t="n">
        <v/>
      </c>
      <c r="X12" s="8" t="n">
        <v/>
      </c>
      <c r="Y12" s="8" t="n">
        <v/>
      </c>
      <c r="Z12" s="8" t="n">
        <v/>
      </c>
      <c r="AA12" s="8" t="n">
        <v/>
      </c>
      <c r="AB12" s="8" t="n">
        <v/>
      </c>
      <c r="AC12" s="8" t="n">
        <v/>
      </c>
      <c r="AD12" s="8" t="n">
        <v/>
      </c>
      <c r="AE12" s="8" t="n">
        <v/>
      </c>
      <c r="AF12" s="14">
        <f>AVERAGE(B12:AE12)</f>
        <v/>
      </c>
      <c r="AG12" s="14">
        <f>STDEV(B12:AE12)</f>
        <v/>
      </c>
      <c r="AH12" s="14">
        <f>MIN(B12:AE12)</f>
        <v/>
      </c>
      <c r="AI12" s="14">
        <f>MAX(B12:AE12)</f>
        <v/>
      </c>
    </row>
    <row r="13">
      <c r="A13" s="13" t="inlineStr">
        <is>
          <t>F11 - Composition 3</t>
        </is>
      </c>
      <c r="B13" s="4" t="n">
        <v/>
      </c>
      <c r="C13" s="4" t="n">
        <v/>
      </c>
      <c r="D13" s="4" t="n">
        <v/>
      </c>
      <c r="E13" s="4" t="n">
        <v/>
      </c>
      <c r="F13" s="4" t="n">
        <v/>
      </c>
      <c r="G13" s="4" t="n">
        <v/>
      </c>
      <c r="H13" s="4" t="n">
        <v/>
      </c>
      <c r="I13" s="4" t="n">
        <v/>
      </c>
      <c r="J13" s="4" t="n">
        <v/>
      </c>
      <c r="K13" s="4" t="n">
        <v/>
      </c>
      <c r="L13" s="4" t="n">
        <v/>
      </c>
      <c r="M13" s="4" t="n">
        <v/>
      </c>
      <c r="N13" s="4" t="n">
        <v/>
      </c>
      <c r="O13" s="4" t="n">
        <v/>
      </c>
      <c r="P13" s="4" t="n">
        <v/>
      </c>
      <c r="Q13" s="4" t="n">
        <v/>
      </c>
      <c r="R13" s="4" t="n">
        <v/>
      </c>
      <c r="S13" s="4" t="n">
        <v/>
      </c>
      <c r="T13" s="4" t="n">
        <v/>
      </c>
      <c r="U13" s="4" t="n">
        <v/>
      </c>
      <c r="V13" s="4" t="n">
        <v/>
      </c>
      <c r="W13" s="4" t="n">
        <v/>
      </c>
      <c r="X13" s="4" t="n">
        <v/>
      </c>
      <c r="Y13" s="4" t="n">
        <v/>
      </c>
      <c r="Z13" s="4" t="n">
        <v/>
      </c>
      <c r="AA13" s="4" t="n">
        <v/>
      </c>
      <c r="AB13" s="4" t="n">
        <v/>
      </c>
      <c r="AC13" s="4" t="n">
        <v/>
      </c>
      <c r="AD13" s="4" t="n">
        <v/>
      </c>
      <c r="AE13" s="4" t="n">
        <v/>
      </c>
      <c r="AF13" s="14">
        <f>AVERAGE(B13:AE13)</f>
        <v/>
      </c>
      <c r="AG13" s="14">
        <f>STDEV(B13:AE13)</f>
        <v/>
      </c>
      <c r="AH13" s="14">
        <f>MIN(B13:AE13)</f>
        <v/>
      </c>
      <c r="AI13" s="14">
        <f>MAX(B13:AE13)</f>
        <v/>
      </c>
    </row>
    <row r="14">
      <c r="A14" s="15" t="inlineStr">
        <is>
          <t>F12 - Composition 4</t>
        </is>
      </c>
      <c r="B14" s="8" t="n">
        <v/>
      </c>
      <c r="C14" s="8" t="n">
        <v/>
      </c>
      <c r="D14" s="8" t="n">
        <v/>
      </c>
      <c r="E14" s="8" t="n">
        <v/>
      </c>
      <c r="F14" s="8" t="n">
        <v/>
      </c>
      <c r="G14" s="8" t="n">
        <v/>
      </c>
      <c r="H14" s="8" t="n">
        <v/>
      </c>
      <c r="I14" s="8" t="n">
        <v/>
      </c>
      <c r="J14" s="8" t="n">
        <v/>
      </c>
      <c r="K14" s="8" t="n">
        <v/>
      </c>
      <c r="L14" s="8" t="n">
        <v/>
      </c>
      <c r="M14" s="8" t="n">
        <v/>
      </c>
      <c r="N14" s="8" t="n">
        <v/>
      </c>
      <c r="O14" s="8" t="n">
        <v/>
      </c>
      <c r="P14" s="8" t="n">
        <v/>
      </c>
      <c r="Q14" s="8" t="n">
        <v/>
      </c>
      <c r="R14" s="8" t="n">
        <v/>
      </c>
      <c r="S14" s="8" t="n">
        <v/>
      </c>
      <c r="T14" s="8" t="n">
        <v/>
      </c>
      <c r="U14" s="8" t="n">
        <v/>
      </c>
      <c r="V14" s="8" t="n">
        <v/>
      </c>
      <c r="W14" s="8" t="n">
        <v/>
      </c>
      <c r="X14" s="8" t="n">
        <v/>
      </c>
      <c r="Y14" s="8" t="n">
        <v/>
      </c>
      <c r="Z14" s="8" t="n">
        <v/>
      </c>
      <c r="AA14" s="8" t="n">
        <v/>
      </c>
      <c r="AB14" s="8" t="n">
        <v/>
      </c>
      <c r="AC14" s="8" t="n">
        <v/>
      </c>
      <c r="AD14" s="8" t="n">
        <v/>
      </c>
      <c r="AE14" s="8" t="n">
        <v/>
      </c>
      <c r="AF14" s="14">
        <f>AVERAGE(B14:AE14)</f>
        <v/>
      </c>
      <c r="AG14" s="14">
        <f>STDEV(B14:AE14)</f>
        <v/>
      </c>
      <c r="AH14" s="14">
        <f>MIN(B14:AE14)</f>
        <v/>
      </c>
      <c r="AI14" s="14">
        <f>MAX(B14:AE14)</f>
        <v/>
      </c>
    </row>
  </sheetData>
  <mergeCells count="1">
    <mergeCell ref="A1:A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2026-03-10T13:09:09Z</dcterms:created>
  <dcterms:modified xsi:type="dcterms:W3CDTF">2026-03-10T13:09:09Z</dcterms:modified>
</cp:coreProperties>
</file>