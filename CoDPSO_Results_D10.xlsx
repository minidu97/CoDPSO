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=10 Comparison" sheetId="1" state="visible" r:id="rId1"/>
    <sheet name="D=20 Comparison" sheetId="2" state="visible" r:id="rId2"/>
    <sheet name="Raw Data D=10" sheetId="3" state="visible" r:id="rId3"/>
    <sheet name="Raw Data D=2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2F4F8F"/>
        <bgColor rgb="002F4F8F"/>
      </patternFill>
    </fill>
    <fill>
      <patternFill patternType="solid">
        <fgColor rgb="004F81BD"/>
        <bgColor rgb="004F81BD"/>
      </patternFill>
    </fill>
    <fill>
      <patternFill patternType="solid">
        <fgColor rgb="00DCE6F1"/>
        <bgColor rgb="00DCE6F1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1" fontId="2" fillId="4" borderId="1" applyAlignment="1" pivotButton="0" quotePrefix="0" xfId="0">
      <alignment horizontal="center" vertical="center"/>
    </xf>
    <xf numFmtId="11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1" fontId="2" fillId="6" borderId="1" applyAlignment="1" pivotButton="0" quotePrefix="0" xfId="0">
      <alignment horizontal="center" vertical="center"/>
    </xf>
    <xf numFmtId="11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1" fontId="3" fillId="8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</cols>
  <sheetData>
    <row r="1" ht="28" customHeight="1">
      <c r="A1" s="1" t="inlineStr">
        <is>
          <t>CoDPSO Results Comparison — CEC 2022 (D=10)</t>
        </is>
      </c>
    </row>
    <row r="2" ht="22" customHeight="1">
      <c r="A2" s="2" t="inlineStr">
        <is>
          <t>Function</t>
        </is>
      </c>
      <c r="B2" s="2" t="inlineStr">
        <is>
          <t>Paper Mean</t>
        </is>
      </c>
      <c r="C2" s="2" t="inlineStr">
        <is>
          <t>Paper Std</t>
        </is>
      </c>
      <c r="D2" s="2" t="inlineStr">
        <is>
          <t>My Mean</t>
        </is>
      </c>
      <c r="E2" s="2" t="inlineStr">
        <is>
          <t>My Std</t>
        </is>
      </c>
      <c r="F2" s="2" t="inlineStr">
        <is>
          <t>My Best</t>
        </is>
      </c>
      <c r="G2" s="2" t="inlineStr">
        <is>
          <t>My Worst</t>
        </is>
      </c>
      <c r="H2" s="2" t="inlineStr">
        <is>
          <t>Diff (Mean)</t>
        </is>
      </c>
      <c r="I2" s="2" t="inlineStr">
        <is>
          <t>Diff (Std)</t>
        </is>
      </c>
      <c r="J2" s="2" t="inlineStr">
        <is>
          <t>Mean Better?</t>
        </is>
      </c>
      <c r="K2" s="2" t="inlineStr">
        <is>
          <t>Notes</t>
        </is>
      </c>
    </row>
    <row r="3">
      <c r="A3" s="3" t="inlineStr">
        <is>
          <t>F1 - Zakharov</t>
        </is>
      </c>
      <c r="B3" s="4" t="n">
        <v>300</v>
      </c>
      <c r="C3" s="4" t="n">
        <v>0</v>
      </c>
      <c r="D3" s="4" t="n">
        <v>342.4559034081973</v>
      </c>
      <c r="E3" s="4" t="n">
        <v>33.74724686291918</v>
      </c>
      <c r="F3" s="4" t="n">
        <v>308.1056691682635</v>
      </c>
      <c r="G3" s="4" t="n">
        <v>426.0311641747334</v>
      </c>
      <c r="H3" s="5" t="n">
        <v>42.45590340819734</v>
      </c>
      <c r="I3" s="4" t="n">
        <v>33.74724686291918</v>
      </c>
      <c r="J3" s="6" t="inlineStr">
        <is>
          <t>❌ Worse</t>
        </is>
      </c>
      <c r="K3" s="3" t="inlineStr"/>
    </row>
    <row r="4">
      <c r="A4" s="7" t="inlineStr">
        <is>
          <t>F2 - Rosenbrock</t>
        </is>
      </c>
      <c r="B4" s="8" t="n">
        <v>400.78</v>
      </c>
      <c r="C4" s="8" t="n">
        <v>1.95</v>
      </c>
      <c r="D4" s="8" t="n">
        <v>406.0021229741299</v>
      </c>
      <c r="E4" s="8" t="n">
        <v>4.618539930216754</v>
      </c>
      <c r="F4" s="8" t="n">
        <v>400.3754187012455</v>
      </c>
      <c r="G4" s="8" t="n">
        <v>419.6591666146508</v>
      </c>
      <c r="H4" s="5" t="n">
        <v>5.222122974129888</v>
      </c>
      <c r="I4" s="8" t="n">
        <v>2.668539930216753</v>
      </c>
      <c r="J4" s="6" t="inlineStr">
        <is>
          <t>❌ Worse</t>
        </is>
      </c>
      <c r="K4" s="7" t="inlineStr"/>
    </row>
    <row r="5">
      <c r="A5" s="3" t="inlineStr">
        <is>
          <t>F3 - Schaffer f6</t>
        </is>
      </c>
      <c r="B5" s="4" t="n">
        <v>600</v>
      </c>
      <c r="C5" s="4" t="n">
        <v>0.00898</v>
      </c>
      <c r="D5" s="4" t="n">
        <v>600.0003707931495</v>
      </c>
      <c r="E5" s="4" t="n">
        <v>0.0001780915900060968</v>
      </c>
      <c r="F5" s="4" t="n">
        <v>600.0000976350716</v>
      </c>
      <c r="G5" s="4" t="n">
        <v>600.0007611323484</v>
      </c>
      <c r="H5" s="5" t="n">
        <v>0.0003707931495000594</v>
      </c>
      <c r="I5" s="4" t="n">
        <v>-0.008801908409993904</v>
      </c>
      <c r="J5" s="6" t="inlineStr">
        <is>
          <t>❌ Worse</t>
        </is>
      </c>
      <c r="K5" s="3" t="inlineStr"/>
    </row>
    <row r="6">
      <c r="A6" s="7" t="inlineStr">
        <is>
          <t>F4 - Rastrigin</t>
        </is>
      </c>
      <c r="B6" s="8" t="n">
        <v>806.83</v>
      </c>
      <c r="C6" s="8" t="n">
        <v>2.67</v>
      </c>
      <c r="D6" s="8" t="n">
        <v>831.1077837065531</v>
      </c>
      <c r="E6" s="8" t="n">
        <v>10.41631858375625</v>
      </c>
      <c r="F6" s="8" t="n">
        <v>810.7187046434451</v>
      </c>
      <c r="G6" s="8" t="n">
        <v>850.0047364939478</v>
      </c>
      <c r="H6" s="5" t="n">
        <v>24.27778370655301</v>
      </c>
      <c r="I6" s="8" t="n">
        <v>7.746318583756254</v>
      </c>
      <c r="J6" s="6" t="inlineStr">
        <is>
          <t>❌ Worse</t>
        </is>
      </c>
      <c r="K6" s="7" t="inlineStr"/>
    </row>
    <row r="7">
      <c r="A7" s="3" t="inlineStr">
        <is>
          <t>F5 - Levy</t>
        </is>
      </c>
      <c r="B7" s="4" t="n">
        <v>900.01</v>
      </c>
      <c r="C7" s="4" t="n">
        <v>0.0413</v>
      </c>
      <c r="D7" s="4" t="n">
        <v>900.1757090823718</v>
      </c>
      <c r="E7" s="4" t="n">
        <v>0.1714785592915913</v>
      </c>
      <c r="F7" s="4" t="n">
        <v>900.0035227624228</v>
      </c>
      <c r="G7" s="4" t="n">
        <v>900.6282739396792</v>
      </c>
      <c r="H7" s="5" t="n">
        <v>0.1657090823717908</v>
      </c>
      <c r="I7" s="4" t="n">
        <v>0.1301785592915913</v>
      </c>
      <c r="J7" s="6" t="inlineStr">
        <is>
          <t>❌ Worse</t>
        </is>
      </c>
      <c r="K7" s="3" t="inlineStr"/>
    </row>
    <row r="8">
      <c r="A8" s="7" t="inlineStr">
        <is>
          <t>F6 - Hybrid 1</t>
        </is>
      </c>
      <c r="B8" s="8" t="n">
        <v>1871.86</v>
      </c>
      <c r="C8" s="8" t="n">
        <v>59.1</v>
      </c>
      <c r="D8" s="8" t="n">
        <v>20442.78864452233</v>
      </c>
      <c r="E8" s="8" t="n">
        <v>7175.926753649466</v>
      </c>
      <c r="F8" s="8" t="n">
        <v>6526.750530161829</v>
      </c>
      <c r="G8" s="8" t="n">
        <v>34572.69394470188</v>
      </c>
      <c r="H8" s="5" t="n">
        <v>18570.92864452233</v>
      </c>
      <c r="I8" s="8" t="n">
        <v>7116.826753649466</v>
      </c>
      <c r="J8" s="6" t="inlineStr">
        <is>
          <t>❌ Worse</t>
        </is>
      </c>
      <c r="K8" s="7" t="inlineStr"/>
    </row>
    <row r="9">
      <c r="A9" s="3" t="inlineStr">
        <is>
          <t>F7 - Hybrid 2</t>
        </is>
      </c>
      <c r="B9" s="4" t="n">
        <v>2009.35</v>
      </c>
      <c r="C9" s="4" t="n">
        <v>9.66</v>
      </c>
      <c r="D9" s="4" t="n">
        <v>2038.988281713023</v>
      </c>
      <c r="E9" s="4" t="n">
        <v>6.864376840847735</v>
      </c>
      <c r="F9" s="4" t="n">
        <v>2028.201668014731</v>
      </c>
      <c r="G9" s="4" t="n">
        <v>2061.866485083521</v>
      </c>
      <c r="H9" s="5" t="n">
        <v>29.63828171302316</v>
      </c>
      <c r="I9" s="4" t="n">
        <v>-2.795623159152265</v>
      </c>
      <c r="J9" s="6" t="inlineStr">
        <is>
          <t>❌ Worse</t>
        </is>
      </c>
      <c r="K9" s="3" t="inlineStr"/>
    </row>
    <row r="10">
      <c r="A10" s="7" t="inlineStr">
        <is>
          <t>F8 - Hybrid 3</t>
        </is>
      </c>
      <c r="B10" s="8" t="n">
        <v>2210.06</v>
      </c>
      <c r="C10" s="8" t="n">
        <v>10</v>
      </c>
      <c r="D10" s="8" t="n">
        <v>2262.259269747914</v>
      </c>
      <c r="E10" s="8" t="n">
        <v>40.50584483420965</v>
      </c>
      <c r="F10" s="8" t="n">
        <v>2229.71199389678</v>
      </c>
      <c r="G10" s="8" t="n">
        <v>2406.665740950526</v>
      </c>
      <c r="H10" s="5" t="n">
        <v>52.19926974791406</v>
      </c>
      <c r="I10" s="8" t="n">
        <v>30.50584483420965</v>
      </c>
      <c r="J10" s="6" t="inlineStr">
        <is>
          <t>❌ Worse</t>
        </is>
      </c>
      <c r="K10" s="7" t="inlineStr"/>
    </row>
    <row r="11">
      <c r="A11" s="3" t="inlineStr">
        <is>
          <t>F9 - Composition 1</t>
        </is>
      </c>
      <c r="B11" s="4" t="n">
        <v>2529.28</v>
      </c>
      <c r="C11" s="4" t="n">
        <v>0</v>
      </c>
      <c r="D11" s="4" t="n">
        <v>2440.863954265734</v>
      </c>
      <c r="E11" s="4" t="n">
        <v>164.6393236727111</v>
      </c>
      <c r="F11" s="4" t="n">
        <v>2303.563432011429</v>
      </c>
      <c r="G11" s="4" t="n">
        <v>2679.479579700304</v>
      </c>
      <c r="H11" s="9" t="n">
        <v>-88.41604573426639</v>
      </c>
      <c r="I11" s="4" t="n">
        <v>164.6393236727111</v>
      </c>
      <c r="J11" s="10" t="inlineStr">
        <is>
          <t>✅ Better</t>
        </is>
      </c>
      <c r="K11" s="3" t="inlineStr"/>
    </row>
    <row r="12">
      <c r="A12" s="7" t="inlineStr">
        <is>
          <t>F10 - Composition 2</t>
        </is>
      </c>
      <c r="B12" s="8" t="n">
        <v>2500.64</v>
      </c>
      <c r="C12" s="8" t="n">
        <v>0.518</v>
      </c>
      <c r="D12" s="8" t="n">
        <v>2634.431004312083</v>
      </c>
      <c r="E12" s="8" t="n">
        <v>28.15236060950486</v>
      </c>
      <c r="F12" s="8" t="n">
        <v>2621.754203747572</v>
      </c>
      <c r="G12" s="8" t="n">
        <v>2749.042320767114</v>
      </c>
      <c r="H12" s="5" t="n">
        <v>133.7910043120828</v>
      </c>
      <c r="I12" s="8" t="n">
        <v>27.63436060950486</v>
      </c>
      <c r="J12" s="6" t="inlineStr">
        <is>
          <t>❌ Worse</t>
        </is>
      </c>
      <c r="K12" s="7" t="inlineStr"/>
    </row>
    <row r="13">
      <c r="A13" s="3" t="inlineStr">
        <is>
          <t>F11 - Composition 3</t>
        </is>
      </c>
      <c r="B13" s="4" t="n">
        <v>2610</v>
      </c>
      <c r="C13" s="4" t="n">
        <v>54.8</v>
      </c>
      <c r="D13" s="4" t="n">
        <v>2604.451747050315</v>
      </c>
      <c r="E13" s="4" t="n">
        <v>4.134436089743791</v>
      </c>
      <c r="F13" s="4" t="n">
        <v>2601.186842779634</v>
      </c>
      <c r="G13" s="4" t="n">
        <v>2622.376810103934</v>
      </c>
      <c r="H13" s="9" t="n">
        <v>-5.54825294968532</v>
      </c>
      <c r="I13" s="4" t="n">
        <v>-50.6655639102562</v>
      </c>
      <c r="J13" s="10" t="inlineStr">
        <is>
          <t>✅ Better</t>
        </is>
      </c>
      <c r="K13" s="3" t="inlineStr"/>
    </row>
    <row r="14">
      <c r="A14" s="7" t="inlineStr">
        <is>
          <t>F12 - Composition 4</t>
        </is>
      </c>
      <c r="B14" s="8" t="n">
        <v>2861.61</v>
      </c>
      <c r="C14" s="8" t="n">
        <v>0.946</v>
      </c>
      <c r="D14" s="8" t="n">
        <v>2870.09893381996</v>
      </c>
      <c r="E14" s="8" t="n">
        <v>1.398170449365345</v>
      </c>
      <c r="F14" s="8" t="n">
        <v>2868.193288163057</v>
      </c>
      <c r="G14" s="8" t="n">
        <v>2874.669751477849</v>
      </c>
      <c r="H14" s="5" t="n">
        <v>8.488933819959584</v>
      </c>
      <c r="I14" s="8" t="n">
        <v>0.4521704493653451</v>
      </c>
      <c r="J14" s="6" t="inlineStr">
        <is>
          <t>❌ Worse</t>
        </is>
      </c>
      <c r="K14" s="7" t="inlineStr"/>
    </row>
    <row r="15">
      <c r="A15" s="11" t="inlineStr">
        <is>
          <t>Summary</t>
        </is>
      </c>
      <c r="D15" s="12">
        <f>COUNTIF(J3:J14,"*Better*")</f>
        <v/>
      </c>
      <c r="E15" s="12" t="inlineStr">
        <is>
          <t>Functions Better</t>
        </is>
      </c>
      <c r="F15" s="12">
        <f>COUNTIF(J3:J14,"*Worse*")</f>
        <v/>
      </c>
      <c r="G15" s="12" t="inlineStr">
        <is>
          <t>Functions Worse</t>
        </is>
      </c>
      <c r="H15" s="12">
        <f>COUNTIF(J3:J14,"*Equal*")</f>
        <v/>
      </c>
      <c r="I15" s="12" t="inlineStr">
        <is>
          <t>Functions Equal</t>
        </is>
      </c>
    </row>
  </sheetData>
  <mergeCells count="2">
    <mergeCell ref="A15:C15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</cols>
  <sheetData>
    <row r="1" ht="28" customHeight="1">
      <c r="A1" s="1" t="inlineStr">
        <is>
          <t>CoDPSO Results Comparison — CEC 2022 (D=20)</t>
        </is>
      </c>
    </row>
    <row r="2" ht="22" customHeight="1">
      <c r="A2" s="2" t="inlineStr">
        <is>
          <t>Function</t>
        </is>
      </c>
      <c r="B2" s="2" t="inlineStr">
        <is>
          <t>Paper Mean</t>
        </is>
      </c>
      <c r="C2" s="2" t="inlineStr">
        <is>
          <t>Paper Std</t>
        </is>
      </c>
      <c r="D2" s="2" t="inlineStr">
        <is>
          <t>My Mean</t>
        </is>
      </c>
      <c r="E2" s="2" t="inlineStr">
        <is>
          <t>My Std</t>
        </is>
      </c>
      <c r="F2" s="2" t="inlineStr">
        <is>
          <t>My Best</t>
        </is>
      </c>
      <c r="G2" s="2" t="inlineStr">
        <is>
          <t>My Worst</t>
        </is>
      </c>
      <c r="H2" s="2" t="inlineStr">
        <is>
          <t>Diff (Mean)</t>
        </is>
      </c>
      <c r="I2" s="2" t="inlineStr">
        <is>
          <t>Diff (Std)</t>
        </is>
      </c>
      <c r="J2" s="2" t="inlineStr">
        <is>
          <t>Mean Better?</t>
        </is>
      </c>
      <c r="K2" s="2" t="inlineStr">
        <is>
          <t>Notes</t>
        </is>
      </c>
    </row>
    <row r="3">
      <c r="A3" s="3" t="inlineStr">
        <is>
          <t>F1 - Zakharov</t>
        </is>
      </c>
      <c r="B3" s="4" t="n">
        <v>300</v>
      </c>
      <c r="C3" s="4" t="n">
        <v>1.83e-14</v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6" t="inlineStr">
        <is>
          <t>❌ Worse</t>
        </is>
      </c>
      <c r="K3" s="3" t="inlineStr"/>
    </row>
    <row r="4">
      <c r="A4" s="7" t="inlineStr">
        <is>
          <t>F2 - Rosenbrock</t>
        </is>
      </c>
      <c r="B4" s="8" t="n">
        <v>422.16</v>
      </c>
      <c r="C4" s="8" t="n">
        <v>28.8</v>
      </c>
      <c r="D4" s="8" t="n">
        <v/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6" t="inlineStr">
        <is>
          <t>❌ Worse</t>
        </is>
      </c>
      <c r="K4" s="7" t="inlineStr"/>
    </row>
    <row r="5">
      <c r="A5" s="3" t="inlineStr">
        <is>
          <t>F3 - Schaffer f6</t>
        </is>
      </c>
      <c r="B5" s="4" t="n">
        <v>600.53</v>
      </c>
      <c r="C5" s="4" t="n">
        <v>0.777</v>
      </c>
      <c r="D5" s="4" t="n">
        <v/>
      </c>
      <c r="E5" s="4" t="n">
        <v/>
      </c>
      <c r="F5" s="4" t="n">
        <v/>
      </c>
      <c r="G5" s="4" t="n">
        <v/>
      </c>
      <c r="H5" s="4" t="n">
        <v/>
      </c>
      <c r="I5" s="4" t="n">
        <v/>
      </c>
      <c r="J5" s="6" t="inlineStr">
        <is>
          <t>❌ Worse</t>
        </is>
      </c>
      <c r="K5" s="3" t="inlineStr"/>
    </row>
    <row r="6">
      <c r="A6" s="7" t="inlineStr">
        <is>
          <t>F4 - Rastrigin</t>
        </is>
      </c>
      <c r="B6" s="8" t="n">
        <v>831.46</v>
      </c>
      <c r="C6" s="8" t="n">
        <v>6.29</v>
      </c>
      <c r="D6" s="8" t="n">
        <v/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6" t="inlineStr">
        <is>
          <t>❌ Worse</t>
        </is>
      </c>
      <c r="K6" s="7" t="inlineStr"/>
    </row>
    <row r="7">
      <c r="A7" s="3" t="inlineStr">
        <is>
          <t>F5 - Levy</t>
        </is>
      </c>
      <c r="B7" s="4" t="n">
        <v>905.96</v>
      </c>
      <c r="C7" s="4" t="n">
        <v>6.8</v>
      </c>
      <c r="D7" s="4" t="n">
        <v/>
      </c>
      <c r="E7" s="4" t="n">
        <v/>
      </c>
      <c r="F7" s="4" t="n">
        <v/>
      </c>
      <c r="G7" s="4" t="n">
        <v/>
      </c>
      <c r="H7" s="4" t="n">
        <v/>
      </c>
      <c r="I7" s="4" t="n">
        <v/>
      </c>
      <c r="J7" s="6" t="inlineStr">
        <is>
          <t>❌ Worse</t>
        </is>
      </c>
      <c r="K7" s="3" t="inlineStr"/>
    </row>
    <row r="8">
      <c r="A8" s="7" t="inlineStr">
        <is>
          <t>F6 - Hybrid 1</t>
        </is>
      </c>
      <c r="B8" s="8" t="n">
        <v>2050.76</v>
      </c>
      <c r="C8" s="8" t="n">
        <v>210</v>
      </c>
      <c r="D8" s="8" t="n">
        <v/>
      </c>
      <c r="E8" s="8" t="n">
        <v/>
      </c>
      <c r="F8" s="8" t="n">
        <v/>
      </c>
      <c r="G8" s="8" t="n">
        <v/>
      </c>
      <c r="H8" s="8" t="n">
        <v/>
      </c>
      <c r="I8" s="8" t="n">
        <v/>
      </c>
      <c r="J8" s="6" t="inlineStr">
        <is>
          <t>❌ Worse</t>
        </is>
      </c>
      <c r="K8" s="7" t="inlineStr"/>
    </row>
    <row r="9">
      <c r="A9" s="3" t="inlineStr">
        <is>
          <t>F7 - Hybrid 2</t>
        </is>
      </c>
      <c r="B9" s="4" t="n">
        <v>2035.73</v>
      </c>
      <c r="C9" s="4" t="n">
        <v>13.7</v>
      </c>
      <c r="D9" s="4" t="n">
        <v/>
      </c>
      <c r="E9" s="4" t="n">
        <v/>
      </c>
      <c r="F9" s="4" t="n">
        <v/>
      </c>
      <c r="G9" s="4" t="n">
        <v/>
      </c>
      <c r="H9" s="4" t="n">
        <v/>
      </c>
      <c r="I9" s="4" t="n">
        <v/>
      </c>
      <c r="J9" s="6" t="inlineStr">
        <is>
          <t>❌ Worse</t>
        </is>
      </c>
      <c r="K9" s="3" t="inlineStr"/>
    </row>
    <row r="10">
      <c r="A10" s="7" t="inlineStr">
        <is>
          <t>F8 - Hybrid 3</t>
        </is>
      </c>
      <c r="B10" s="8" t="n">
        <v>2223.4</v>
      </c>
      <c r="C10" s="8" t="n">
        <v>3.44</v>
      </c>
      <c r="D10" s="8" t="n">
        <v/>
      </c>
      <c r="E10" s="8" t="n">
        <v/>
      </c>
      <c r="F10" s="8" t="n">
        <v/>
      </c>
      <c r="G10" s="8" t="n">
        <v/>
      </c>
      <c r="H10" s="8" t="n">
        <v/>
      </c>
      <c r="I10" s="8" t="n">
        <v/>
      </c>
      <c r="J10" s="6" t="inlineStr">
        <is>
          <t>❌ Worse</t>
        </is>
      </c>
      <c r="K10" s="7" t="inlineStr"/>
    </row>
    <row r="11">
      <c r="A11" s="3" t="inlineStr">
        <is>
          <t>F9 - Composition 1</t>
        </is>
      </c>
      <c r="B11" s="4" t="n">
        <v>2480.78</v>
      </c>
      <c r="C11" s="4" t="n">
        <v>1.17e-12</v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6" t="inlineStr">
        <is>
          <t>❌ Worse</t>
        </is>
      </c>
      <c r="K11" s="3" t="inlineStr"/>
    </row>
    <row r="12">
      <c r="A12" s="7" t="inlineStr">
        <is>
          <t>F10 - Composition 2</t>
        </is>
      </c>
      <c r="B12" s="8" t="n">
        <v>2516.76</v>
      </c>
      <c r="C12" s="8" t="n">
        <v>53.8</v>
      </c>
      <c r="D12" s="8" t="n">
        <v/>
      </c>
      <c r="E12" s="8" t="n">
        <v/>
      </c>
      <c r="F12" s="8" t="n">
        <v/>
      </c>
      <c r="G12" s="8" t="n">
        <v/>
      </c>
      <c r="H12" s="8" t="n">
        <v/>
      </c>
      <c r="I12" s="8" t="n">
        <v/>
      </c>
      <c r="J12" s="6" t="inlineStr">
        <is>
          <t>❌ Worse</t>
        </is>
      </c>
      <c r="K12" s="7" t="inlineStr"/>
    </row>
    <row r="13">
      <c r="A13" s="3" t="inlineStr">
        <is>
          <t>F11 - Composition 3</t>
        </is>
      </c>
      <c r="B13" s="4" t="n">
        <v>2853.42</v>
      </c>
      <c r="C13" s="4" t="n">
        <v>158</v>
      </c>
      <c r="D13" s="4" t="n">
        <v/>
      </c>
      <c r="E13" s="4" t="n">
        <v/>
      </c>
      <c r="F13" s="4" t="n">
        <v/>
      </c>
      <c r="G13" s="4" t="n">
        <v/>
      </c>
      <c r="H13" s="4" t="n">
        <v/>
      </c>
      <c r="I13" s="4" t="n">
        <v/>
      </c>
      <c r="J13" s="6" t="inlineStr">
        <is>
          <t>❌ Worse</t>
        </is>
      </c>
      <c r="K13" s="3" t="inlineStr"/>
    </row>
    <row r="14">
      <c r="A14" s="7" t="inlineStr">
        <is>
          <t>F12 - Composition 4</t>
        </is>
      </c>
      <c r="B14" s="8" t="n">
        <v>2947.63</v>
      </c>
      <c r="C14" s="8" t="n">
        <v>3.88</v>
      </c>
      <c r="D14" s="8" t="n">
        <v/>
      </c>
      <c r="E14" s="8" t="n">
        <v/>
      </c>
      <c r="F14" s="8" t="n">
        <v/>
      </c>
      <c r="G14" s="8" t="n">
        <v/>
      </c>
      <c r="H14" s="8" t="n">
        <v/>
      </c>
      <c r="I14" s="8" t="n">
        <v/>
      </c>
      <c r="J14" s="6" t="inlineStr">
        <is>
          <t>❌ Worse</t>
        </is>
      </c>
      <c r="K14" s="7" t="inlineStr"/>
    </row>
    <row r="15">
      <c r="A15" s="11" t="inlineStr">
        <is>
          <t>Summary</t>
        </is>
      </c>
      <c r="D15" s="12">
        <f>COUNTIF(J3:J14,"*Better*")</f>
        <v/>
      </c>
      <c r="E15" s="12" t="inlineStr">
        <is>
          <t>Functions Better</t>
        </is>
      </c>
      <c r="F15" s="12">
        <f>COUNTIF(J3:J14,"*Worse*")</f>
        <v/>
      </c>
      <c r="G15" s="12" t="inlineStr">
        <is>
          <t>Functions Worse</t>
        </is>
      </c>
      <c r="H15" s="12">
        <f>COUNTIF(J3:J14,"*Equal*")</f>
        <v/>
      </c>
      <c r="I15" s="12" t="inlineStr">
        <is>
          <t>Functions Equal</t>
        </is>
      </c>
    </row>
  </sheetData>
  <mergeCells count="2">
    <mergeCell ref="A15:C1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 ht="24" customHeight="1">
      <c r="A1" s="1" t="inlineStr">
        <is>
          <t>Raw Run Results — CEC 2022 (D=10) — 30 Independent Runs</t>
        </is>
      </c>
    </row>
    <row r="2" ht="20" customHeight="1">
      <c r="A2" s="2" t="inlineStr">
        <is>
          <t>Function</t>
        </is>
      </c>
      <c r="B2" s="2" t="inlineStr">
        <is>
          <t>Run 1</t>
        </is>
      </c>
      <c r="C2" s="2" t="inlineStr">
        <is>
          <t>Run 2</t>
        </is>
      </c>
      <c r="D2" s="2" t="inlineStr">
        <is>
          <t>Run 3</t>
        </is>
      </c>
      <c r="E2" s="2" t="inlineStr">
        <is>
          <t>Run 4</t>
        </is>
      </c>
      <c r="F2" s="2" t="inlineStr">
        <is>
          <t>Run 5</t>
        </is>
      </c>
      <c r="G2" s="2" t="inlineStr">
        <is>
          <t>Run 6</t>
        </is>
      </c>
      <c r="H2" s="2" t="inlineStr">
        <is>
          <t>Run 7</t>
        </is>
      </c>
      <c r="I2" s="2" t="inlineStr">
        <is>
          <t>Run 8</t>
        </is>
      </c>
      <c r="J2" s="2" t="inlineStr">
        <is>
          <t>Run 9</t>
        </is>
      </c>
      <c r="K2" s="2" t="inlineStr">
        <is>
          <t>Run 10</t>
        </is>
      </c>
      <c r="L2" s="2" t="inlineStr">
        <is>
          <t>Run 11</t>
        </is>
      </c>
      <c r="M2" s="2" t="inlineStr">
        <is>
          <t>Run 12</t>
        </is>
      </c>
      <c r="N2" s="2" t="inlineStr">
        <is>
          <t>Run 13</t>
        </is>
      </c>
      <c r="O2" s="2" t="inlineStr">
        <is>
          <t>Run 14</t>
        </is>
      </c>
      <c r="P2" s="2" t="inlineStr">
        <is>
          <t>Run 15</t>
        </is>
      </c>
      <c r="Q2" s="2" t="inlineStr">
        <is>
          <t>Run 16</t>
        </is>
      </c>
      <c r="R2" s="2" t="inlineStr">
        <is>
          <t>Run 17</t>
        </is>
      </c>
      <c r="S2" s="2" t="inlineStr">
        <is>
          <t>Run 18</t>
        </is>
      </c>
      <c r="T2" s="2" t="inlineStr">
        <is>
          <t>Run 19</t>
        </is>
      </c>
      <c r="U2" s="2" t="inlineStr">
        <is>
          <t>Run 20</t>
        </is>
      </c>
      <c r="V2" s="2" t="inlineStr">
        <is>
          <t>Run 21</t>
        </is>
      </c>
      <c r="W2" s="2" t="inlineStr">
        <is>
          <t>Run 22</t>
        </is>
      </c>
      <c r="X2" s="2" t="inlineStr">
        <is>
          <t>Run 23</t>
        </is>
      </c>
      <c r="Y2" s="2" t="inlineStr">
        <is>
          <t>Run 24</t>
        </is>
      </c>
      <c r="Z2" s="2" t="inlineStr">
        <is>
          <t>Run 25</t>
        </is>
      </c>
      <c r="AA2" s="2" t="inlineStr">
        <is>
          <t>Run 26</t>
        </is>
      </c>
      <c r="AB2" s="2" t="inlineStr">
        <is>
          <t>Run 27</t>
        </is>
      </c>
      <c r="AC2" s="2" t="inlineStr">
        <is>
          <t>Run 28</t>
        </is>
      </c>
      <c r="AD2" s="2" t="inlineStr">
        <is>
          <t>Run 29</t>
        </is>
      </c>
      <c r="AE2" s="2" t="inlineStr">
        <is>
          <t>Run 30</t>
        </is>
      </c>
      <c r="AF2" s="2" t="inlineStr">
        <is>
          <t>Mean</t>
        </is>
      </c>
      <c r="AG2" s="2" t="inlineStr">
        <is>
          <t>Std</t>
        </is>
      </c>
      <c r="AH2" s="2" t="inlineStr">
        <is>
          <t>Best</t>
        </is>
      </c>
      <c r="AI2" s="2" t="inlineStr">
        <is>
          <t>Worst</t>
        </is>
      </c>
    </row>
    <row r="3">
      <c r="A3" s="13" t="inlineStr">
        <is>
          <t>F1 - Zakharov</t>
        </is>
      </c>
      <c r="B3" s="4" t="n">
        <v>326.3392650830181</v>
      </c>
      <c r="C3" s="4" t="n">
        <v>316.728565193415</v>
      </c>
      <c r="D3" s="4" t="n">
        <v>310.0742797109717</v>
      </c>
      <c r="E3" s="4" t="n">
        <v>358.9244721998124</v>
      </c>
      <c r="F3" s="4" t="n">
        <v>315.8537776608086</v>
      </c>
      <c r="G3" s="4" t="n">
        <v>337.5765775839828</v>
      </c>
      <c r="H3" s="4" t="n">
        <v>406.8716802951973</v>
      </c>
      <c r="I3" s="4" t="n">
        <v>343.946877435724</v>
      </c>
      <c r="J3" s="4" t="n">
        <v>311.1014181365412</v>
      </c>
      <c r="K3" s="4" t="n">
        <v>332.3261761790072</v>
      </c>
      <c r="L3" s="4" t="n">
        <v>426.0311641747334</v>
      </c>
      <c r="M3" s="4" t="n">
        <v>317.5099189177711</v>
      </c>
      <c r="N3" s="4" t="n">
        <v>321.0203697409431</v>
      </c>
      <c r="O3" s="4" t="n">
        <v>322.5987760456102</v>
      </c>
      <c r="P3" s="4" t="n">
        <v>325.7804630613491</v>
      </c>
      <c r="Q3" s="4" t="n">
        <v>320.9033687924036</v>
      </c>
      <c r="R3" s="4" t="n">
        <v>339.0764987093278</v>
      </c>
      <c r="S3" s="4" t="n">
        <v>327.2092708928911</v>
      </c>
      <c r="T3" s="4" t="n">
        <v>334.3353465934416</v>
      </c>
      <c r="U3" s="4" t="n">
        <v>312.8722290654094</v>
      </c>
      <c r="V3" s="4" t="n">
        <v>412.966906241114</v>
      </c>
      <c r="W3" s="4" t="n">
        <v>316.9519514959995</v>
      </c>
      <c r="X3" s="4" t="n">
        <v>393.8237941672078</v>
      </c>
      <c r="Y3" s="4" t="n">
        <v>366.0073006142983</v>
      </c>
      <c r="Z3" s="4" t="n">
        <v>401.3938095772205</v>
      </c>
      <c r="AA3" s="4" t="n">
        <v>327.4211217368962</v>
      </c>
      <c r="AB3" s="4" t="n">
        <v>326.9590941760356</v>
      </c>
      <c r="AC3" s="4" t="n">
        <v>331.5976249776272</v>
      </c>
      <c r="AD3" s="4" t="n">
        <v>308.1056691682635</v>
      </c>
      <c r="AE3" s="4" t="n">
        <v>381.3693346188967</v>
      </c>
      <c r="AF3" s="14">
        <f>AVERAGE(B3:AE3)</f>
        <v/>
      </c>
      <c r="AG3" s="14">
        <f>STDEV(B3:AE3)</f>
        <v/>
      </c>
      <c r="AH3" s="14">
        <f>MIN(B3:AE3)</f>
        <v/>
      </c>
      <c r="AI3" s="14">
        <f>MAX(B3:AE3)</f>
        <v/>
      </c>
    </row>
    <row r="4">
      <c r="A4" s="15" t="inlineStr">
        <is>
          <t>F2 - Rosenbrock</t>
        </is>
      </c>
      <c r="B4" s="8" t="n">
        <v>400.6326806828473</v>
      </c>
      <c r="C4" s="8" t="n">
        <v>400.7186296137806</v>
      </c>
      <c r="D4" s="8" t="n">
        <v>406.7799405021461</v>
      </c>
      <c r="E4" s="8" t="n">
        <v>400.3754187012455</v>
      </c>
      <c r="F4" s="8" t="n">
        <v>408.5786642041007</v>
      </c>
      <c r="G4" s="8" t="n">
        <v>413.2391133647133</v>
      </c>
      <c r="H4" s="8" t="n">
        <v>404.9733710484788</v>
      </c>
      <c r="I4" s="8" t="n">
        <v>404.4969878856677</v>
      </c>
      <c r="J4" s="8" t="n">
        <v>402.0532728744332</v>
      </c>
      <c r="K4" s="8" t="n">
        <v>409.4131020609529</v>
      </c>
      <c r="L4" s="8" t="n">
        <v>404.1773723969777</v>
      </c>
      <c r="M4" s="8" t="n">
        <v>401.9087285839899</v>
      </c>
      <c r="N4" s="8" t="n">
        <v>407.6743796613079</v>
      </c>
      <c r="O4" s="8" t="n">
        <v>409.3318962888534</v>
      </c>
      <c r="P4" s="8" t="n">
        <v>400.9567565523135</v>
      </c>
      <c r="Q4" s="8" t="n">
        <v>401.5295107268012</v>
      </c>
      <c r="R4" s="8" t="n">
        <v>403.9864758203457</v>
      </c>
      <c r="S4" s="8" t="n">
        <v>419.6591666146508</v>
      </c>
      <c r="T4" s="8" t="n">
        <v>411.9101659523793</v>
      </c>
      <c r="U4" s="8" t="n">
        <v>413.0391313251166</v>
      </c>
      <c r="V4" s="8" t="n">
        <v>404.084165811793</v>
      </c>
      <c r="W4" s="8" t="n">
        <v>410.5462989992776</v>
      </c>
      <c r="X4" s="8" t="n">
        <v>401.8757926412156</v>
      </c>
      <c r="Y4" s="8" t="n">
        <v>401.4957190679858</v>
      </c>
      <c r="Z4" s="8" t="n">
        <v>405.3802948694362</v>
      </c>
      <c r="AA4" s="8" t="n">
        <v>409.0834023535169</v>
      </c>
      <c r="AB4" s="8" t="n">
        <v>408.5124248262783</v>
      </c>
      <c r="AC4" s="8" t="n">
        <v>408.442299591805</v>
      </c>
      <c r="AD4" s="8" t="n">
        <v>402.7265721737834</v>
      </c>
      <c r="AE4" s="8" t="n">
        <v>402.4819540277022</v>
      </c>
      <c r="AF4" s="14">
        <f>AVERAGE(B4:AE4)</f>
        <v/>
      </c>
      <c r="AG4" s="14">
        <f>STDEV(B4:AE4)</f>
        <v/>
      </c>
      <c r="AH4" s="14">
        <f>MIN(B4:AE4)</f>
        <v/>
      </c>
      <c r="AI4" s="14">
        <f>MAX(B4:AE4)</f>
        <v/>
      </c>
    </row>
    <row r="5">
      <c r="A5" s="13" t="inlineStr">
        <is>
          <t>F3 - Schaffer f6</t>
        </is>
      </c>
      <c r="B5" s="4" t="n">
        <v>600.0005087059966</v>
      </c>
      <c r="C5" s="4" t="n">
        <v>600.0004930312159</v>
      </c>
      <c r="D5" s="4" t="n">
        <v>600.000397509963</v>
      </c>
      <c r="E5" s="4" t="n">
        <v>600.0002829274508</v>
      </c>
      <c r="F5" s="4" t="n">
        <v>600.0004644575605</v>
      </c>
      <c r="G5" s="4" t="n">
        <v>600.0006531331085</v>
      </c>
      <c r="H5" s="4" t="n">
        <v>600.0001234534652</v>
      </c>
      <c r="I5" s="4" t="n">
        <v>600.0007611323484</v>
      </c>
      <c r="J5" s="4" t="n">
        <v>600.0003796110598</v>
      </c>
      <c r="K5" s="4" t="n">
        <v>600.0002466259327</v>
      </c>
      <c r="L5" s="4" t="n">
        <v>600.0000976350716</v>
      </c>
      <c r="M5" s="4" t="n">
        <v>600.0004952877961</v>
      </c>
      <c r="N5" s="4" t="n">
        <v>600.0002306169525</v>
      </c>
      <c r="O5" s="4" t="n">
        <v>600.0005713632312</v>
      </c>
      <c r="P5" s="4" t="n">
        <v>600.0005674311367</v>
      </c>
      <c r="Q5" s="4" t="n">
        <v>600.000221976649</v>
      </c>
      <c r="R5" s="4" t="n">
        <v>600.00027159232</v>
      </c>
      <c r="S5" s="4" t="n">
        <v>600.0005437161257</v>
      </c>
      <c r="T5" s="4" t="n">
        <v>600.0002551406949</v>
      </c>
      <c r="U5" s="4" t="n">
        <v>600.0004158571768</v>
      </c>
      <c r="V5" s="4" t="n">
        <v>600.0002585311107</v>
      </c>
      <c r="W5" s="4" t="n">
        <v>600.0001798680638</v>
      </c>
      <c r="X5" s="4" t="n">
        <v>600.000144735081</v>
      </c>
      <c r="Y5" s="4" t="n">
        <v>600.0005594233336</v>
      </c>
      <c r="Z5" s="4" t="n">
        <v>600.0001538928677</v>
      </c>
      <c r="AA5" s="4" t="n">
        <v>600.000704697999</v>
      </c>
      <c r="AB5" s="4" t="n">
        <v>600.000291388014</v>
      </c>
      <c r="AC5" s="4" t="n">
        <v>600.0002460232911</v>
      </c>
      <c r="AD5" s="4" t="n">
        <v>600.0003044252202</v>
      </c>
      <c r="AE5" s="4" t="n">
        <v>600.0002996042481</v>
      </c>
      <c r="AF5" s="14">
        <f>AVERAGE(B5:AE5)</f>
        <v/>
      </c>
      <c r="AG5" s="14">
        <f>STDEV(B5:AE5)</f>
        <v/>
      </c>
      <c r="AH5" s="14">
        <f>MIN(B5:AE5)</f>
        <v/>
      </c>
      <c r="AI5" s="14">
        <f>MAX(B5:AE5)</f>
        <v/>
      </c>
    </row>
    <row r="6">
      <c r="A6" s="15" t="inlineStr">
        <is>
          <t>F4 - Rastrigin</t>
        </is>
      </c>
      <c r="B6" s="8" t="n">
        <v>826.0000282340494</v>
      </c>
      <c r="C6" s="8" t="n">
        <v>850.0047364939478</v>
      </c>
      <c r="D6" s="8" t="n">
        <v>840.0049179559404</v>
      </c>
      <c r="E6" s="8" t="n">
        <v>836.0002499781705</v>
      </c>
      <c r="F6" s="8" t="n">
        <v>815.6756758116799</v>
      </c>
      <c r="G6" s="8" t="n">
        <v>844.5349172890362</v>
      </c>
      <c r="H6" s="8" t="n">
        <v>838.0010173180951</v>
      </c>
      <c r="I6" s="8" t="n">
        <v>836.0003380138306</v>
      </c>
      <c r="J6" s="8" t="n">
        <v>824.0087811585023</v>
      </c>
      <c r="K6" s="8" t="n">
        <v>820.0051202774393</v>
      </c>
      <c r="L6" s="8" t="n">
        <v>816.0000021818737</v>
      </c>
      <c r="M6" s="8" t="n">
        <v>824.04445973513</v>
      </c>
      <c r="N6" s="8" t="n">
        <v>838.016171864236</v>
      </c>
      <c r="O6" s="8" t="n">
        <v>826.0043306251143</v>
      </c>
      <c r="P6" s="8" t="n">
        <v>830.0249587501911</v>
      </c>
      <c r="Q6" s="8" t="n">
        <v>836.0004279998345</v>
      </c>
      <c r="R6" s="8" t="n">
        <v>818.0021286997518</v>
      </c>
      <c r="S6" s="8" t="n">
        <v>832</v>
      </c>
      <c r="T6" s="8" t="n">
        <v>844.000104435763</v>
      </c>
      <c r="U6" s="8" t="n">
        <v>846.0000342162259</v>
      </c>
      <c r="V6" s="8" t="n">
        <v>841.1156210087256</v>
      </c>
      <c r="W6" s="8" t="n">
        <v>810.7187046434451</v>
      </c>
      <c r="X6" s="8" t="n">
        <v>824.0001768911478</v>
      </c>
      <c r="Y6" s="8" t="n">
        <v>812.0000631253706</v>
      </c>
      <c r="Z6" s="8" t="n">
        <v>836.183903967367</v>
      </c>
      <c r="AA6" s="8" t="n">
        <v>844.2512461934538</v>
      </c>
      <c r="AB6" s="8" t="n">
        <v>826.0000697223854</v>
      </c>
      <c r="AC6" s="8" t="n">
        <v>832.0022602989494</v>
      </c>
      <c r="AD6" s="8" t="n">
        <v>834.0001021802719</v>
      </c>
      <c r="AE6" s="8" t="n">
        <v>832.6329621266644</v>
      </c>
      <c r="AF6" s="14">
        <f>AVERAGE(B6:AE6)</f>
        <v/>
      </c>
      <c r="AG6" s="14">
        <f>STDEV(B6:AE6)</f>
        <v/>
      </c>
      <c r="AH6" s="14">
        <f>MIN(B6:AE6)</f>
        <v/>
      </c>
      <c r="AI6" s="14">
        <f>MAX(B6:AE6)</f>
        <v/>
      </c>
    </row>
    <row r="7">
      <c r="A7" s="13" t="inlineStr">
        <is>
          <t>F5 - Levy</t>
        </is>
      </c>
      <c r="B7" s="4" t="n">
        <v>900.1050063303301</v>
      </c>
      <c r="C7" s="4" t="n">
        <v>900.0103140205509</v>
      </c>
      <c r="D7" s="4" t="n">
        <v>900.0529736027349</v>
      </c>
      <c r="E7" s="4" t="n">
        <v>900.0951286302311</v>
      </c>
      <c r="F7" s="4" t="n">
        <v>900.0975543703846</v>
      </c>
      <c r="G7" s="4" t="n">
        <v>900.1030661826325</v>
      </c>
      <c r="H7" s="4" t="n">
        <v>900.1900333812841</v>
      </c>
      <c r="I7" s="4" t="n">
        <v>900.5599841672125</v>
      </c>
      <c r="J7" s="4" t="n">
        <v>900.0906734995167</v>
      </c>
      <c r="K7" s="4" t="n">
        <v>900.1824876047342</v>
      </c>
      <c r="L7" s="4" t="n">
        <v>900.4904593456737</v>
      </c>
      <c r="M7" s="4" t="n">
        <v>900.4893477430528</v>
      </c>
      <c r="N7" s="4" t="n">
        <v>900.0969943663058</v>
      </c>
      <c r="O7" s="4" t="n">
        <v>900.0181448979204</v>
      </c>
      <c r="P7" s="4" t="n">
        <v>900.0129744486468</v>
      </c>
      <c r="Q7" s="4" t="n">
        <v>900.025239124079</v>
      </c>
      <c r="R7" s="4" t="n">
        <v>900.6282739396792</v>
      </c>
      <c r="S7" s="4" t="n">
        <v>900.4579424685384</v>
      </c>
      <c r="T7" s="4" t="n">
        <v>900.0985818421988</v>
      </c>
      <c r="U7" s="4" t="n">
        <v>900.0924269931209</v>
      </c>
      <c r="V7" s="4" t="n">
        <v>900.0812002322585</v>
      </c>
      <c r="W7" s="4" t="n">
        <v>900.264359427968</v>
      </c>
      <c r="X7" s="4" t="n">
        <v>900.0041833216482</v>
      </c>
      <c r="Y7" s="4" t="n">
        <v>900.1577531163742</v>
      </c>
      <c r="Z7" s="4" t="n">
        <v>900.2245193020584</v>
      </c>
      <c r="AA7" s="4" t="n">
        <v>900.1806348454215</v>
      </c>
      <c r="AB7" s="4" t="n">
        <v>900.2186079616138</v>
      </c>
      <c r="AC7" s="4" t="n">
        <v>900.0035227624228</v>
      </c>
      <c r="AD7" s="4" t="n">
        <v>900.1187706518123</v>
      </c>
      <c r="AE7" s="4" t="n">
        <v>900.120113890746</v>
      </c>
      <c r="AF7" s="14">
        <f>AVERAGE(B7:AE7)</f>
        <v/>
      </c>
      <c r="AG7" s="14">
        <f>STDEV(B7:AE7)</f>
        <v/>
      </c>
      <c r="AH7" s="14">
        <f>MIN(B7:AE7)</f>
        <v/>
      </c>
      <c r="AI7" s="14">
        <f>MAX(B7:AE7)</f>
        <v/>
      </c>
    </row>
    <row r="8">
      <c r="A8" s="15" t="inlineStr">
        <is>
          <t>F6 - Hybrid 1</t>
        </is>
      </c>
      <c r="B8" s="8" t="n">
        <v>15630.51175219357</v>
      </c>
      <c r="C8" s="8" t="n">
        <v>16734.60129208741</v>
      </c>
      <c r="D8" s="8" t="n">
        <v>27535.33258295625</v>
      </c>
      <c r="E8" s="8" t="n">
        <v>23346.13178332412</v>
      </c>
      <c r="F8" s="8" t="n">
        <v>29425.22815070977</v>
      </c>
      <c r="G8" s="8" t="n">
        <v>25280.90393479783</v>
      </c>
      <c r="H8" s="8" t="n">
        <v>8773.75088060403</v>
      </c>
      <c r="I8" s="8" t="n">
        <v>10643.60309518329</v>
      </c>
      <c r="J8" s="8" t="n">
        <v>28458.35634606663</v>
      </c>
      <c r="K8" s="8" t="n">
        <v>13874.95116891531</v>
      </c>
      <c r="L8" s="8" t="n">
        <v>34572.69394470188</v>
      </c>
      <c r="M8" s="8" t="n">
        <v>31999.7945603621</v>
      </c>
      <c r="N8" s="8" t="n">
        <v>27032.32077633831</v>
      </c>
      <c r="O8" s="8" t="n">
        <v>18441.94718119699</v>
      </c>
      <c r="P8" s="8" t="n">
        <v>21064.69491332384</v>
      </c>
      <c r="Q8" s="8" t="n">
        <v>17107.53966565456</v>
      </c>
      <c r="R8" s="8" t="n">
        <v>24298.49636007976</v>
      </c>
      <c r="S8" s="8" t="n">
        <v>19209.85686320477</v>
      </c>
      <c r="T8" s="8" t="n">
        <v>6526.750530161829</v>
      </c>
      <c r="U8" s="8" t="n">
        <v>9167.257498621229</v>
      </c>
      <c r="V8" s="8" t="n">
        <v>21268.0891291456</v>
      </c>
      <c r="W8" s="8" t="n">
        <v>18283.29036384292</v>
      </c>
      <c r="X8" s="8" t="n">
        <v>31869.77084822909</v>
      </c>
      <c r="Y8" s="8" t="n">
        <v>12850.18109899384</v>
      </c>
      <c r="Z8" s="8" t="n">
        <v>21215.9920453924</v>
      </c>
      <c r="AA8" s="8" t="n">
        <v>18454.97174113079</v>
      </c>
      <c r="AB8" s="8" t="n">
        <v>13734.14348585075</v>
      </c>
      <c r="AC8" s="8" t="n">
        <v>18926.32876628086</v>
      </c>
      <c r="AD8" s="8" t="n">
        <v>25839.80104451408</v>
      </c>
      <c r="AE8" s="8" t="n">
        <v>21716.36753180612</v>
      </c>
      <c r="AF8" s="14">
        <f>AVERAGE(B8:AE8)</f>
        <v/>
      </c>
      <c r="AG8" s="14">
        <f>STDEV(B8:AE8)</f>
        <v/>
      </c>
      <c r="AH8" s="14">
        <f>MIN(B8:AE8)</f>
        <v/>
      </c>
      <c r="AI8" s="14">
        <f>MAX(B8:AE8)</f>
        <v/>
      </c>
    </row>
    <row r="9">
      <c r="A9" s="13" t="inlineStr">
        <is>
          <t>F7 - Hybrid 2</t>
        </is>
      </c>
      <c r="B9" s="4" t="n">
        <v>2036.602797117512</v>
      </c>
      <c r="C9" s="4" t="n">
        <v>2029.645144513951</v>
      </c>
      <c r="D9" s="4" t="n">
        <v>2030.7740747464</v>
      </c>
      <c r="E9" s="4" t="n">
        <v>2037.281138460068</v>
      </c>
      <c r="F9" s="4" t="n">
        <v>2036.79220454497</v>
      </c>
      <c r="G9" s="4" t="n">
        <v>2045.120794683829</v>
      </c>
      <c r="H9" s="4" t="n">
        <v>2039.763730582484</v>
      </c>
      <c r="I9" s="4" t="n">
        <v>2036.290352462536</v>
      </c>
      <c r="J9" s="4" t="n">
        <v>2046.082815561119</v>
      </c>
      <c r="K9" s="4" t="n">
        <v>2048.455079356819</v>
      </c>
      <c r="L9" s="4" t="n">
        <v>2040.20334317127</v>
      </c>
      <c r="M9" s="4" t="n">
        <v>2040.329073729194</v>
      </c>
      <c r="N9" s="4" t="n">
        <v>2036.92314541319</v>
      </c>
      <c r="O9" s="4" t="n">
        <v>2032.438725196385</v>
      </c>
      <c r="P9" s="4" t="n">
        <v>2034.637565219311</v>
      </c>
      <c r="Q9" s="4" t="n">
        <v>2045.138446393818</v>
      </c>
      <c r="R9" s="4" t="n">
        <v>2040.458956394936</v>
      </c>
      <c r="S9" s="4" t="n">
        <v>2037.35548944657</v>
      </c>
      <c r="T9" s="4" t="n">
        <v>2035.153117120781</v>
      </c>
      <c r="U9" s="4" t="n">
        <v>2035.999164241405</v>
      </c>
      <c r="V9" s="4" t="n">
        <v>2036.399346726863</v>
      </c>
      <c r="W9" s="4" t="n">
        <v>2039.327999909621</v>
      </c>
      <c r="X9" s="4" t="n">
        <v>2054.20164737161</v>
      </c>
      <c r="Y9" s="4" t="n">
        <v>2028.201668014731</v>
      </c>
      <c r="Z9" s="4" t="n">
        <v>2061.866485083521</v>
      </c>
      <c r="AA9" s="4" t="n">
        <v>2035.058878645266</v>
      </c>
      <c r="AB9" s="4" t="n">
        <v>2040.795001617438</v>
      </c>
      <c r="AC9" s="4" t="n">
        <v>2037.335375392163</v>
      </c>
      <c r="AD9" s="4" t="n">
        <v>2036.061027407175</v>
      </c>
      <c r="AE9" s="4" t="n">
        <v>2034.955862865764</v>
      </c>
      <c r="AF9" s="14">
        <f>AVERAGE(B9:AE9)</f>
        <v/>
      </c>
      <c r="AG9" s="14">
        <f>STDEV(B9:AE9)</f>
        <v/>
      </c>
      <c r="AH9" s="14">
        <f>MIN(B9:AE9)</f>
        <v/>
      </c>
      <c r="AI9" s="14">
        <f>MAX(B9:AE9)</f>
        <v/>
      </c>
    </row>
    <row r="10">
      <c r="A10" s="15" t="inlineStr">
        <is>
          <t>F8 - Hybrid 3</t>
        </is>
      </c>
      <c r="B10" s="8" t="n">
        <v>2277.600694072931</v>
      </c>
      <c r="C10" s="8" t="n">
        <v>2232.769375639581</v>
      </c>
      <c r="D10" s="8" t="n">
        <v>2377.943435686149</v>
      </c>
      <c r="E10" s="8" t="n">
        <v>2234.161731953539</v>
      </c>
      <c r="F10" s="8" t="n">
        <v>2406.665740950526</v>
      </c>
      <c r="G10" s="8" t="n">
        <v>2280.699462039537</v>
      </c>
      <c r="H10" s="8" t="n">
        <v>2235.017094508957</v>
      </c>
      <c r="I10" s="8" t="n">
        <v>2236.900371069283</v>
      </c>
      <c r="J10" s="8" t="n">
        <v>2266.125495087429</v>
      </c>
      <c r="K10" s="8" t="n">
        <v>2264.01361443109</v>
      </c>
      <c r="L10" s="8" t="n">
        <v>2241.449037876778</v>
      </c>
      <c r="M10" s="8" t="n">
        <v>2243.027831238639</v>
      </c>
      <c r="N10" s="8" t="n">
        <v>2229.71199389678</v>
      </c>
      <c r="O10" s="8" t="n">
        <v>2237.375550407278</v>
      </c>
      <c r="P10" s="8" t="n">
        <v>2320.883495525314</v>
      </c>
      <c r="Q10" s="8" t="n">
        <v>2262.077185580884</v>
      </c>
      <c r="R10" s="8" t="n">
        <v>2236.600491488858</v>
      </c>
      <c r="S10" s="8" t="n">
        <v>2268.750490137769</v>
      </c>
      <c r="T10" s="8" t="n">
        <v>2232.716730915766</v>
      </c>
      <c r="U10" s="8" t="n">
        <v>2237.533740006662</v>
      </c>
      <c r="V10" s="8" t="n">
        <v>2248.336888212493</v>
      </c>
      <c r="W10" s="8" t="n">
        <v>2233.028147401458</v>
      </c>
      <c r="X10" s="8" t="n">
        <v>2242.036522338257</v>
      </c>
      <c r="Y10" s="8" t="n">
        <v>2262.088477781303</v>
      </c>
      <c r="Z10" s="8" t="n">
        <v>2281.202239113646</v>
      </c>
      <c r="AA10" s="8" t="n">
        <v>2262.295681475794</v>
      </c>
      <c r="AB10" s="8" t="n">
        <v>2239.801721432802</v>
      </c>
      <c r="AC10" s="8" t="n">
        <v>2255.173570413651</v>
      </c>
      <c r="AD10" s="8" t="n">
        <v>2281.759596007613</v>
      </c>
      <c r="AE10" s="8" t="n">
        <v>2240.031685746664</v>
      </c>
      <c r="AF10" s="14">
        <f>AVERAGE(B10:AE10)</f>
        <v/>
      </c>
      <c r="AG10" s="14">
        <f>STDEV(B10:AE10)</f>
        <v/>
      </c>
      <c r="AH10" s="14">
        <f>MIN(B10:AE10)</f>
        <v/>
      </c>
      <c r="AI10" s="14">
        <f>MAX(B10:AE10)</f>
        <v/>
      </c>
    </row>
    <row r="11">
      <c r="A11" s="13" t="inlineStr">
        <is>
          <t>F9 - Composition 1</t>
        </is>
      </c>
      <c r="B11" s="4" t="n">
        <v>2421.529014212632</v>
      </c>
      <c r="C11" s="4" t="n">
        <v>2325.006094309125</v>
      </c>
      <c r="D11" s="4" t="n">
        <v>2303.563432011429</v>
      </c>
      <c r="E11" s="4" t="n">
        <v>2305.569852585906</v>
      </c>
      <c r="F11" s="4" t="n">
        <v>2333.621067229651</v>
      </c>
      <c r="G11" s="4" t="n">
        <v>2310.571067401675</v>
      </c>
      <c r="H11" s="4" t="n">
        <v>2310.408245040956</v>
      </c>
      <c r="I11" s="4" t="n">
        <v>2670.218270018609</v>
      </c>
      <c r="J11" s="4" t="n">
        <v>2670.124166531387</v>
      </c>
      <c r="K11" s="4" t="n">
        <v>2670.121874243679</v>
      </c>
      <c r="L11" s="4" t="n">
        <v>2317.718278674497</v>
      </c>
      <c r="M11" s="4" t="n">
        <v>2316.222531107896</v>
      </c>
      <c r="N11" s="4" t="n">
        <v>2329.595848612</v>
      </c>
      <c r="O11" s="4" t="n">
        <v>2372.495848979034</v>
      </c>
      <c r="P11" s="4" t="n">
        <v>2663.339637027891</v>
      </c>
      <c r="Q11" s="4" t="n">
        <v>2304.920501449129</v>
      </c>
      <c r="R11" s="4" t="n">
        <v>2312.725119104709</v>
      </c>
      <c r="S11" s="4" t="n">
        <v>2672.254259239125</v>
      </c>
      <c r="T11" s="4" t="n">
        <v>2671.260107581061</v>
      </c>
      <c r="U11" s="4" t="n">
        <v>2679.479579700304</v>
      </c>
      <c r="V11" s="4" t="n">
        <v>2666.209155293664</v>
      </c>
      <c r="W11" s="4" t="n">
        <v>2376.014127750268</v>
      </c>
      <c r="X11" s="4" t="n">
        <v>2677.930762176873</v>
      </c>
      <c r="Y11" s="4" t="n">
        <v>2311.032555871823</v>
      </c>
      <c r="Z11" s="4" t="n">
        <v>2312.291464852039</v>
      </c>
      <c r="AA11" s="4" t="n">
        <v>2671.015541299913</v>
      </c>
      <c r="AB11" s="4" t="n">
        <v>2316.386442246941</v>
      </c>
      <c r="AC11" s="4" t="n">
        <v>2312.44548354574</v>
      </c>
      <c r="AD11" s="4" t="n">
        <v>2311.774848106082</v>
      </c>
      <c r="AE11" s="4" t="n">
        <v>2310.073451767964</v>
      </c>
      <c r="AF11" s="14">
        <f>AVERAGE(B11:AE11)</f>
        <v/>
      </c>
      <c r="AG11" s="14">
        <f>STDEV(B11:AE11)</f>
        <v/>
      </c>
      <c r="AH11" s="14">
        <f>MIN(B11:AE11)</f>
        <v/>
      </c>
      <c r="AI11" s="14">
        <f>MAX(B11:AE11)</f>
        <v/>
      </c>
    </row>
    <row r="12">
      <c r="A12" s="15" t="inlineStr">
        <is>
          <t>F10 - Composition 2</t>
        </is>
      </c>
      <c r="B12" s="8" t="n">
        <v>2636.242598754007</v>
      </c>
      <c r="C12" s="8" t="n">
        <v>2626.477461022348</v>
      </c>
      <c r="D12" s="8" t="n">
        <v>2625.115256841839</v>
      </c>
      <c r="E12" s="8" t="n">
        <v>2624.707945599587</v>
      </c>
      <c r="F12" s="8" t="n">
        <v>2624.109796016043</v>
      </c>
      <c r="G12" s="8" t="n">
        <v>2627.639360862649</v>
      </c>
      <c r="H12" s="8" t="n">
        <v>2623.418271396964</v>
      </c>
      <c r="I12" s="8" t="n">
        <v>2627.58871908217</v>
      </c>
      <c r="J12" s="8" t="n">
        <v>2627.606952661581</v>
      </c>
      <c r="K12" s="8" t="n">
        <v>2627.566284800228</v>
      </c>
      <c r="L12" s="8" t="n">
        <v>2624.045103907323</v>
      </c>
      <c r="M12" s="8" t="n">
        <v>2622.971123001714</v>
      </c>
      <c r="N12" s="8" t="n">
        <v>2749.042320767114</v>
      </c>
      <c r="O12" s="8" t="n">
        <v>2628.131007845033</v>
      </c>
      <c r="P12" s="8" t="n">
        <v>2627.186475072508</v>
      </c>
      <c r="Q12" s="8" t="n">
        <v>2624.181865711728</v>
      </c>
      <c r="R12" s="8" t="n">
        <v>2624.658891829475</v>
      </c>
      <c r="S12" s="8" t="n">
        <v>2625.338511654023</v>
      </c>
      <c r="T12" s="8" t="n">
        <v>2633.948783647262</v>
      </c>
      <c r="U12" s="8" t="n">
        <v>2621.754203747572</v>
      </c>
      <c r="V12" s="8" t="n">
        <v>2628.174727686519</v>
      </c>
      <c r="W12" s="8" t="n">
        <v>2621.940752615831</v>
      </c>
      <c r="X12" s="8" t="n">
        <v>2622.303465716727</v>
      </c>
      <c r="Y12" s="8" t="n">
        <v>2627.621000475719</v>
      </c>
      <c r="Z12" s="8" t="n">
        <v>2727.640116453728</v>
      </c>
      <c r="AA12" s="8" t="n">
        <v>2627.655585375993</v>
      </c>
      <c r="AB12" s="8" t="n">
        <v>2633.468044014743</v>
      </c>
      <c r="AC12" s="8" t="n">
        <v>2633.010687768853</v>
      </c>
      <c r="AD12" s="8" t="n">
        <v>2625.643356420557</v>
      </c>
      <c r="AE12" s="8" t="n">
        <v>2633.741458612632</v>
      </c>
      <c r="AF12" s="14">
        <f>AVERAGE(B12:AE12)</f>
        <v/>
      </c>
      <c r="AG12" s="14">
        <f>STDEV(B12:AE12)</f>
        <v/>
      </c>
      <c r="AH12" s="14">
        <f>MIN(B12:AE12)</f>
        <v/>
      </c>
      <c r="AI12" s="14">
        <f>MAX(B12:AE12)</f>
        <v/>
      </c>
    </row>
    <row r="13">
      <c r="A13" s="13" t="inlineStr">
        <is>
          <t>F11 - Composition 3</t>
        </is>
      </c>
      <c r="B13" s="4" t="n">
        <v>2604.162091108988</v>
      </c>
      <c r="C13" s="4" t="n">
        <v>2601.573802039557</v>
      </c>
      <c r="D13" s="4" t="n">
        <v>2605.157240725941</v>
      </c>
      <c r="E13" s="4" t="n">
        <v>2603.785929559257</v>
      </c>
      <c r="F13" s="4" t="n">
        <v>2604.814016686266</v>
      </c>
      <c r="G13" s="4" t="n">
        <v>2601.772557971682</v>
      </c>
      <c r="H13" s="4" t="n">
        <v>2601.881247545259</v>
      </c>
      <c r="I13" s="4" t="n">
        <v>2612.398127958415</v>
      </c>
      <c r="J13" s="4" t="n">
        <v>2608.078885148319</v>
      </c>
      <c r="K13" s="4" t="n">
        <v>2602.118257842053</v>
      </c>
      <c r="L13" s="4" t="n">
        <v>2604.767270066475</v>
      </c>
      <c r="M13" s="4" t="n">
        <v>2603.641831914885</v>
      </c>
      <c r="N13" s="4" t="n">
        <v>2601.535546643885</v>
      </c>
      <c r="O13" s="4" t="n">
        <v>2608.940570553673</v>
      </c>
      <c r="P13" s="4" t="n">
        <v>2602.988742871388</v>
      </c>
      <c r="Q13" s="4" t="n">
        <v>2603.155570256164</v>
      </c>
      <c r="R13" s="4" t="n">
        <v>2602.952730491409</v>
      </c>
      <c r="S13" s="4" t="n">
        <v>2601.186842779634</v>
      </c>
      <c r="T13" s="4" t="n">
        <v>2601.287609630328</v>
      </c>
      <c r="U13" s="4" t="n">
        <v>2603.429681839944</v>
      </c>
      <c r="V13" s="4" t="n">
        <v>2601.214385162518</v>
      </c>
      <c r="W13" s="4" t="n">
        <v>2604.919369141536</v>
      </c>
      <c r="X13" s="4" t="n">
        <v>2603.312860795758</v>
      </c>
      <c r="Y13" s="4" t="n">
        <v>2603.238093618683</v>
      </c>
      <c r="Z13" s="4" t="n">
        <v>2606.790982380988</v>
      </c>
      <c r="AA13" s="4" t="n">
        <v>2603.206237580044</v>
      </c>
      <c r="AB13" s="4" t="n">
        <v>2602.091310305495</v>
      </c>
      <c r="AC13" s="4" t="n">
        <v>2604.095321170712</v>
      </c>
      <c r="AD13" s="4" t="n">
        <v>2622.376810103934</v>
      </c>
      <c r="AE13" s="4" t="n">
        <v>2602.67848761626</v>
      </c>
      <c r="AF13" s="14">
        <f>AVERAGE(B13:AE13)</f>
        <v/>
      </c>
      <c r="AG13" s="14">
        <f>STDEV(B13:AE13)</f>
        <v/>
      </c>
      <c r="AH13" s="14">
        <f>MIN(B13:AE13)</f>
        <v/>
      </c>
      <c r="AI13" s="14">
        <f>MAX(B13:AE13)</f>
        <v/>
      </c>
    </row>
    <row r="14">
      <c r="A14" s="15" t="inlineStr">
        <is>
          <t>F12 - Composition 4</t>
        </is>
      </c>
      <c r="B14" s="8" t="n">
        <v>2868.964332114836</v>
      </c>
      <c r="C14" s="8" t="n">
        <v>2868.375752309141</v>
      </c>
      <c r="D14" s="8" t="n">
        <v>2868.679509135804</v>
      </c>
      <c r="E14" s="8" t="n">
        <v>2871.122276201673</v>
      </c>
      <c r="F14" s="8" t="n">
        <v>2868.970158805238</v>
      </c>
      <c r="G14" s="8" t="n">
        <v>2871.567279324547</v>
      </c>
      <c r="H14" s="8" t="n">
        <v>2870.352669373041</v>
      </c>
      <c r="I14" s="8" t="n">
        <v>2870.776720546078</v>
      </c>
      <c r="J14" s="8" t="n">
        <v>2871.351363496346</v>
      </c>
      <c r="K14" s="8" t="n">
        <v>2868.965801275318</v>
      </c>
      <c r="L14" s="8" t="n">
        <v>2871.100890541713</v>
      </c>
      <c r="M14" s="8" t="n">
        <v>2868.193288163057</v>
      </c>
      <c r="N14" s="8" t="n">
        <v>2870.782285181968</v>
      </c>
      <c r="O14" s="8" t="n">
        <v>2871.351931434438</v>
      </c>
      <c r="P14" s="8" t="n">
        <v>2868.966522013549</v>
      </c>
      <c r="Q14" s="8" t="n">
        <v>2868.983245258134</v>
      </c>
      <c r="R14" s="8" t="n">
        <v>2869.012969694706</v>
      </c>
      <c r="S14" s="8" t="n">
        <v>2868.422150224265</v>
      </c>
      <c r="T14" s="8" t="n">
        <v>2869.14421152381</v>
      </c>
      <c r="U14" s="8" t="n">
        <v>2871.119579791233</v>
      </c>
      <c r="V14" s="8" t="n">
        <v>2870.022798409936</v>
      </c>
      <c r="W14" s="8" t="n">
        <v>2870.777836832156</v>
      </c>
      <c r="X14" s="8" t="n">
        <v>2869.722398401373</v>
      </c>
      <c r="Y14" s="8" t="n">
        <v>2868.97759548474</v>
      </c>
      <c r="Z14" s="8" t="n">
        <v>2869.202367804729</v>
      </c>
      <c r="AA14" s="8" t="n">
        <v>2871.3513863892</v>
      </c>
      <c r="AB14" s="8" t="n">
        <v>2871.56707960648</v>
      </c>
      <c r="AC14" s="8" t="n">
        <v>2871.250178403812</v>
      </c>
      <c r="AD14" s="8" t="n">
        <v>2874.669751477849</v>
      </c>
      <c r="AE14" s="8" t="n">
        <v>2869.223685379623</v>
      </c>
      <c r="AF14" s="14">
        <f>AVERAGE(B14:AE14)</f>
        <v/>
      </c>
      <c r="AG14" s="14">
        <f>STDEV(B14:AE14)</f>
        <v/>
      </c>
      <c r="AH14" s="14">
        <f>MIN(B14:AE14)</f>
        <v/>
      </c>
      <c r="AI14" s="14">
        <f>MAX(B14:AE14)</f>
        <v/>
      </c>
    </row>
  </sheetData>
  <mergeCells count="1"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 ht="24" customHeight="1">
      <c r="A1" s="1" t="inlineStr">
        <is>
          <t>Raw Run Results — CEC 2022 (D=20) — 30 Independent Runs</t>
        </is>
      </c>
    </row>
    <row r="2" ht="20" customHeight="1">
      <c r="A2" s="2" t="inlineStr">
        <is>
          <t>Function</t>
        </is>
      </c>
      <c r="B2" s="2" t="inlineStr">
        <is>
          <t>Run 1</t>
        </is>
      </c>
      <c r="C2" s="2" t="inlineStr">
        <is>
          <t>Run 2</t>
        </is>
      </c>
      <c r="D2" s="2" t="inlineStr">
        <is>
          <t>Run 3</t>
        </is>
      </c>
      <c r="E2" s="2" t="inlineStr">
        <is>
          <t>Run 4</t>
        </is>
      </c>
      <c r="F2" s="2" t="inlineStr">
        <is>
          <t>Run 5</t>
        </is>
      </c>
      <c r="G2" s="2" t="inlineStr">
        <is>
          <t>Run 6</t>
        </is>
      </c>
      <c r="H2" s="2" t="inlineStr">
        <is>
          <t>Run 7</t>
        </is>
      </c>
      <c r="I2" s="2" t="inlineStr">
        <is>
          <t>Run 8</t>
        </is>
      </c>
      <c r="J2" s="2" t="inlineStr">
        <is>
          <t>Run 9</t>
        </is>
      </c>
      <c r="K2" s="2" t="inlineStr">
        <is>
          <t>Run 10</t>
        </is>
      </c>
      <c r="L2" s="2" t="inlineStr">
        <is>
          <t>Run 11</t>
        </is>
      </c>
      <c r="M2" s="2" t="inlineStr">
        <is>
          <t>Run 12</t>
        </is>
      </c>
      <c r="N2" s="2" t="inlineStr">
        <is>
          <t>Run 13</t>
        </is>
      </c>
      <c r="O2" s="2" t="inlineStr">
        <is>
          <t>Run 14</t>
        </is>
      </c>
      <c r="P2" s="2" t="inlineStr">
        <is>
          <t>Run 15</t>
        </is>
      </c>
      <c r="Q2" s="2" t="inlineStr">
        <is>
          <t>Run 16</t>
        </is>
      </c>
      <c r="R2" s="2" t="inlineStr">
        <is>
          <t>Run 17</t>
        </is>
      </c>
      <c r="S2" s="2" t="inlineStr">
        <is>
          <t>Run 18</t>
        </is>
      </c>
      <c r="T2" s="2" t="inlineStr">
        <is>
          <t>Run 19</t>
        </is>
      </c>
      <c r="U2" s="2" t="inlineStr">
        <is>
          <t>Run 20</t>
        </is>
      </c>
      <c r="V2" s="2" t="inlineStr">
        <is>
          <t>Run 21</t>
        </is>
      </c>
      <c r="W2" s="2" t="inlineStr">
        <is>
          <t>Run 22</t>
        </is>
      </c>
      <c r="X2" s="2" t="inlineStr">
        <is>
          <t>Run 23</t>
        </is>
      </c>
      <c r="Y2" s="2" t="inlineStr">
        <is>
          <t>Run 24</t>
        </is>
      </c>
      <c r="Z2" s="2" t="inlineStr">
        <is>
          <t>Run 25</t>
        </is>
      </c>
      <c r="AA2" s="2" t="inlineStr">
        <is>
          <t>Run 26</t>
        </is>
      </c>
      <c r="AB2" s="2" t="inlineStr">
        <is>
          <t>Run 27</t>
        </is>
      </c>
      <c r="AC2" s="2" t="inlineStr">
        <is>
          <t>Run 28</t>
        </is>
      </c>
      <c r="AD2" s="2" t="inlineStr">
        <is>
          <t>Run 29</t>
        </is>
      </c>
      <c r="AE2" s="2" t="inlineStr">
        <is>
          <t>Run 30</t>
        </is>
      </c>
      <c r="AF2" s="2" t="inlineStr">
        <is>
          <t>Mean</t>
        </is>
      </c>
      <c r="AG2" s="2" t="inlineStr">
        <is>
          <t>Std</t>
        </is>
      </c>
      <c r="AH2" s="2" t="inlineStr">
        <is>
          <t>Best</t>
        </is>
      </c>
      <c r="AI2" s="2" t="inlineStr">
        <is>
          <t>Worst</t>
        </is>
      </c>
    </row>
    <row r="3">
      <c r="A3" s="13" t="inlineStr">
        <is>
          <t>F1 - Zakharov</t>
        </is>
      </c>
      <c r="B3" s="4" t="n">
        <v/>
      </c>
      <c r="C3" s="4" t="n">
        <v/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n">
        <v/>
      </c>
      <c r="V3" s="4" t="n">
        <v/>
      </c>
      <c r="W3" s="4" t="n">
        <v/>
      </c>
      <c r="X3" s="4" t="n">
        <v/>
      </c>
      <c r="Y3" s="4" t="n">
        <v/>
      </c>
      <c r="Z3" s="4" t="n">
        <v/>
      </c>
      <c r="AA3" s="4" t="n">
        <v/>
      </c>
      <c r="AB3" s="4" t="n">
        <v/>
      </c>
      <c r="AC3" s="4" t="n">
        <v/>
      </c>
      <c r="AD3" s="4" t="n">
        <v/>
      </c>
      <c r="AE3" s="4" t="n">
        <v/>
      </c>
      <c r="AF3" s="14">
        <f>AVERAGE(B3:AE3)</f>
        <v/>
      </c>
      <c r="AG3" s="14">
        <f>STDEV(B3:AE3)</f>
        <v/>
      </c>
      <c r="AH3" s="14">
        <f>MIN(B3:AE3)</f>
        <v/>
      </c>
      <c r="AI3" s="14">
        <f>MAX(B3:AE3)</f>
        <v/>
      </c>
    </row>
    <row r="4">
      <c r="A4" s="15" t="inlineStr">
        <is>
          <t>F2 - Rosenbrock</t>
        </is>
      </c>
      <c r="B4" s="8" t="n">
        <v/>
      </c>
      <c r="C4" s="8" t="n">
        <v/>
      </c>
      <c r="D4" s="8" t="n">
        <v/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8" t="n">
        <v/>
      </c>
      <c r="K4" s="8" t="n">
        <v/>
      </c>
      <c r="L4" s="8" t="n">
        <v/>
      </c>
      <c r="M4" s="8" t="n">
        <v/>
      </c>
      <c r="N4" s="8" t="n">
        <v/>
      </c>
      <c r="O4" s="8" t="n">
        <v/>
      </c>
      <c r="P4" s="8" t="n">
        <v/>
      </c>
      <c r="Q4" s="8" t="n">
        <v/>
      </c>
      <c r="R4" s="8" t="n">
        <v/>
      </c>
      <c r="S4" s="8" t="n">
        <v/>
      </c>
      <c r="T4" s="8" t="n">
        <v/>
      </c>
      <c r="U4" s="8" t="n">
        <v/>
      </c>
      <c r="V4" s="8" t="n">
        <v/>
      </c>
      <c r="W4" s="8" t="n">
        <v/>
      </c>
      <c r="X4" s="8" t="n">
        <v/>
      </c>
      <c r="Y4" s="8" t="n">
        <v/>
      </c>
      <c r="Z4" s="8" t="n">
        <v/>
      </c>
      <c r="AA4" s="8" t="n">
        <v/>
      </c>
      <c r="AB4" s="8" t="n">
        <v/>
      </c>
      <c r="AC4" s="8" t="n">
        <v/>
      </c>
      <c r="AD4" s="8" t="n">
        <v/>
      </c>
      <c r="AE4" s="8" t="n">
        <v/>
      </c>
      <c r="AF4" s="14">
        <f>AVERAGE(B4:AE4)</f>
        <v/>
      </c>
      <c r="AG4" s="14">
        <f>STDEV(B4:AE4)</f>
        <v/>
      </c>
      <c r="AH4" s="14">
        <f>MIN(B4:AE4)</f>
        <v/>
      </c>
      <c r="AI4" s="14">
        <f>MAX(B4:AE4)</f>
        <v/>
      </c>
    </row>
    <row r="5">
      <c r="A5" s="13" t="inlineStr">
        <is>
          <t>F3 - Schaffer f6</t>
        </is>
      </c>
      <c r="B5" s="4" t="n">
        <v/>
      </c>
      <c r="C5" s="4" t="n">
        <v/>
      </c>
      <c r="D5" s="4" t="n">
        <v/>
      </c>
      <c r="E5" s="4" t="n">
        <v/>
      </c>
      <c r="F5" s="4" t="n">
        <v/>
      </c>
      <c r="G5" s="4" t="n">
        <v/>
      </c>
      <c r="H5" s="4" t="n">
        <v/>
      </c>
      <c r="I5" s="4" t="n">
        <v/>
      </c>
      <c r="J5" s="4" t="n">
        <v/>
      </c>
      <c r="K5" s="4" t="n">
        <v/>
      </c>
      <c r="L5" s="4" t="n">
        <v/>
      </c>
      <c r="M5" s="4" t="n">
        <v/>
      </c>
      <c r="N5" s="4" t="n">
        <v/>
      </c>
      <c r="O5" s="4" t="n">
        <v/>
      </c>
      <c r="P5" s="4" t="n">
        <v/>
      </c>
      <c r="Q5" s="4" t="n">
        <v/>
      </c>
      <c r="R5" s="4" t="n">
        <v/>
      </c>
      <c r="S5" s="4" t="n">
        <v/>
      </c>
      <c r="T5" s="4" t="n">
        <v/>
      </c>
      <c r="U5" s="4" t="n">
        <v/>
      </c>
      <c r="V5" s="4" t="n">
        <v/>
      </c>
      <c r="W5" s="4" t="n">
        <v/>
      </c>
      <c r="X5" s="4" t="n">
        <v/>
      </c>
      <c r="Y5" s="4" t="n">
        <v/>
      </c>
      <c r="Z5" s="4" t="n">
        <v/>
      </c>
      <c r="AA5" s="4" t="n">
        <v/>
      </c>
      <c r="AB5" s="4" t="n">
        <v/>
      </c>
      <c r="AC5" s="4" t="n">
        <v/>
      </c>
      <c r="AD5" s="4" t="n">
        <v/>
      </c>
      <c r="AE5" s="4" t="n">
        <v/>
      </c>
      <c r="AF5" s="14">
        <f>AVERAGE(B5:AE5)</f>
        <v/>
      </c>
      <c r="AG5" s="14">
        <f>STDEV(B5:AE5)</f>
        <v/>
      </c>
      <c r="AH5" s="14">
        <f>MIN(B5:AE5)</f>
        <v/>
      </c>
      <c r="AI5" s="14">
        <f>MAX(B5:AE5)</f>
        <v/>
      </c>
    </row>
    <row r="6">
      <c r="A6" s="15" t="inlineStr">
        <is>
          <t>F4 - Rastrigin</t>
        </is>
      </c>
      <c r="B6" s="8" t="n">
        <v/>
      </c>
      <c r="C6" s="8" t="n">
        <v/>
      </c>
      <c r="D6" s="8" t="n">
        <v/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8" t="n">
        <v/>
      </c>
      <c r="K6" s="8" t="n">
        <v/>
      </c>
      <c r="L6" s="8" t="n">
        <v/>
      </c>
      <c r="M6" s="8" t="n">
        <v/>
      </c>
      <c r="N6" s="8" t="n">
        <v/>
      </c>
      <c r="O6" s="8" t="n">
        <v/>
      </c>
      <c r="P6" s="8" t="n">
        <v/>
      </c>
      <c r="Q6" s="8" t="n">
        <v/>
      </c>
      <c r="R6" s="8" t="n">
        <v/>
      </c>
      <c r="S6" s="8" t="n">
        <v/>
      </c>
      <c r="T6" s="8" t="n">
        <v/>
      </c>
      <c r="U6" s="8" t="n">
        <v/>
      </c>
      <c r="V6" s="8" t="n">
        <v/>
      </c>
      <c r="W6" s="8" t="n">
        <v/>
      </c>
      <c r="X6" s="8" t="n">
        <v/>
      </c>
      <c r="Y6" s="8" t="n">
        <v/>
      </c>
      <c r="Z6" s="8" t="n">
        <v/>
      </c>
      <c r="AA6" s="8" t="n">
        <v/>
      </c>
      <c r="AB6" s="8" t="n">
        <v/>
      </c>
      <c r="AC6" s="8" t="n">
        <v/>
      </c>
      <c r="AD6" s="8" t="n">
        <v/>
      </c>
      <c r="AE6" s="8" t="n">
        <v/>
      </c>
      <c r="AF6" s="14">
        <f>AVERAGE(B6:AE6)</f>
        <v/>
      </c>
      <c r="AG6" s="14">
        <f>STDEV(B6:AE6)</f>
        <v/>
      </c>
      <c r="AH6" s="14">
        <f>MIN(B6:AE6)</f>
        <v/>
      </c>
      <c r="AI6" s="14">
        <f>MAX(B6:AE6)</f>
        <v/>
      </c>
    </row>
    <row r="7">
      <c r="A7" s="13" t="inlineStr">
        <is>
          <t>F5 - Levy</t>
        </is>
      </c>
      <c r="B7" s="4" t="n">
        <v/>
      </c>
      <c r="C7" s="4" t="n">
        <v/>
      </c>
      <c r="D7" s="4" t="n">
        <v/>
      </c>
      <c r="E7" s="4" t="n">
        <v/>
      </c>
      <c r="F7" s="4" t="n">
        <v/>
      </c>
      <c r="G7" s="4" t="n">
        <v/>
      </c>
      <c r="H7" s="4" t="n">
        <v/>
      </c>
      <c r="I7" s="4" t="n">
        <v/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n">
        <v/>
      </c>
      <c r="V7" s="4" t="n">
        <v/>
      </c>
      <c r="W7" s="4" t="n">
        <v/>
      </c>
      <c r="X7" s="4" t="n">
        <v/>
      </c>
      <c r="Y7" s="4" t="n">
        <v/>
      </c>
      <c r="Z7" s="4" t="n">
        <v/>
      </c>
      <c r="AA7" s="4" t="n">
        <v/>
      </c>
      <c r="AB7" s="4" t="n">
        <v/>
      </c>
      <c r="AC7" s="4" t="n">
        <v/>
      </c>
      <c r="AD7" s="4" t="n">
        <v/>
      </c>
      <c r="AE7" s="4" t="n">
        <v/>
      </c>
      <c r="AF7" s="14">
        <f>AVERAGE(B7:AE7)</f>
        <v/>
      </c>
      <c r="AG7" s="14">
        <f>STDEV(B7:AE7)</f>
        <v/>
      </c>
      <c r="AH7" s="14">
        <f>MIN(B7:AE7)</f>
        <v/>
      </c>
      <c r="AI7" s="14">
        <f>MAX(B7:AE7)</f>
        <v/>
      </c>
    </row>
    <row r="8">
      <c r="A8" s="15" t="inlineStr">
        <is>
          <t>F6 - Hybrid 1</t>
        </is>
      </c>
      <c r="B8" s="8" t="n">
        <v/>
      </c>
      <c r="C8" s="8" t="n">
        <v/>
      </c>
      <c r="D8" s="8" t="n">
        <v/>
      </c>
      <c r="E8" s="8" t="n">
        <v/>
      </c>
      <c r="F8" s="8" t="n">
        <v/>
      </c>
      <c r="G8" s="8" t="n">
        <v/>
      </c>
      <c r="H8" s="8" t="n">
        <v/>
      </c>
      <c r="I8" s="8" t="n">
        <v/>
      </c>
      <c r="J8" s="8" t="n">
        <v/>
      </c>
      <c r="K8" s="8" t="n">
        <v/>
      </c>
      <c r="L8" s="8" t="n">
        <v/>
      </c>
      <c r="M8" s="8" t="n">
        <v/>
      </c>
      <c r="N8" s="8" t="n">
        <v/>
      </c>
      <c r="O8" s="8" t="n">
        <v/>
      </c>
      <c r="P8" s="8" t="n">
        <v/>
      </c>
      <c r="Q8" s="8" t="n">
        <v/>
      </c>
      <c r="R8" s="8" t="n">
        <v/>
      </c>
      <c r="S8" s="8" t="n">
        <v/>
      </c>
      <c r="T8" s="8" t="n">
        <v/>
      </c>
      <c r="U8" s="8" t="n">
        <v/>
      </c>
      <c r="V8" s="8" t="n">
        <v/>
      </c>
      <c r="W8" s="8" t="n">
        <v/>
      </c>
      <c r="X8" s="8" t="n">
        <v/>
      </c>
      <c r="Y8" s="8" t="n">
        <v/>
      </c>
      <c r="Z8" s="8" t="n">
        <v/>
      </c>
      <c r="AA8" s="8" t="n">
        <v/>
      </c>
      <c r="AB8" s="8" t="n">
        <v/>
      </c>
      <c r="AC8" s="8" t="n">
        <v/>
      </c>
      <c r="AD8" s="8" t="n">
        <v/>
      </c>
      <c r="AE8" s="8" t="n">
        <v/>
      </c>
      <c r="AF8" s="14">
        <f>AVERAGE(B8:AE8)</f>
        <v/>
      </c>
      <c r="AG8" s="14">
        <f>STDEV(B8:AE8)</f>
        <v/>
      </c>
      <c r="AH8" s="14">
        <f>MIN(B8:AE8)</f>
        <v/>
      </c>
      <c r="AI8" s="14">
        <f>MAX(B8:AE8)</f>
        <v/>
      </c>
    </row>
    <row r="9">
      <c r="A9" s="13" t="inlineStr">
        <is>
          <t>F7 - Hybrid 2</t>
        </is>
      </c>
      <c r="B9" s="4" t="n">
        <v/>
      </c>
      <c r="C9" s="4" t="n">
        <v/>
      </c>
      <c r="D9" s="4" t="n">
        <v/>
      </c>
      <c r="E9" s="4" t="n">
        <v/>
      </c>
      <c r="F9" s="4" t="n">
        <v/>
      </c>
      <c r="G9" s="4" t="n">
        <v/>
      </c>
      <c r="H9" s="4" t="n">
        <v/>
      </c>
      <c r="I9" s="4" t="n">
        <v/>
      </c>
      <c r="J9" s="4" t="n">
        <v/>
      </c>
      <c r="K9" s="4" t="n">
        <v/>
      </c>
      <c r="L9" s="4" t="n">
        <v/>
      </c>
      <c r="M9" s="4" t="n">
        <v/>
      </c>
      <c r="N9" s="4" t="n">
        <v/>
      </c>
      <c r="O9" s="4" t="n">
        <v/>
      </c>
      <c r="P9" s="4" t="n">
        <v/>
      </c>
      <c r="Q9" s="4" t="n">
        <v/>
      </c>
      <c r="R9" s="4" t="n">
        <v/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n">
        <v/>
      </c>
      <c r="AA9" s="4" t="n">
        <v/>
      </c>
      <c r="AB9" s="4" t="n">
        <v/>
      </c>
      <c r="AC9" s="4" t="n">
        <v/>
      </c>
      <c r="AD9" s="4" t="n">
        <v/>
      </c>
      <c r="AE9" s="4" t="n">
        <v/>
      </c>
      <c r="AF9" s="14">
        <f>AVERAGE(B9:AE9)</f>
        <v/>
      </c>
      <c r="AG9" s="14">
        <f>STDEV(B9:AE9)</f>
        <v/>
      </c>
      <c r="AH9" s="14">
        <f>MIN(B9:AE9)</f>
        <v/>
      </c>
      <c r="AI9" s="14">
        <f>MAX(B9:AE9)</f>
        <v/>
      </c>
    </row>
    <row r="10">
      <c r="A10" s="15" t="inlineStr">
        <is>
          <t>F8 - Hybrid 3</t>
        </is>
      </c>
      <c r="B10" s="8" t="n">
        <v/>
      </c>
      <c r="C10" s="8" t="n">
        <v/>
      </c>
      <c r="D10" s="8" t="n">
        <v/>
      </c>
      <c r="E10" s="8" t="n">
        <v/>
      </c>
      <c r="F10" s="8" t="n">
        <v/>
      </c>
      <c r="G10" s="8" t="n">
        <v/>
      </c>
      <c r="H10" s="8" t="n">
        <v/>
      </c>
      <c r="I10" s="8" t="n">
        <v/>
      </c>
      <c r="J10" s="8" t="n">
        <v/>
      </c>
      <c r="K10" s="8" t="n">
        <v/>
      </c>
      <c r="L10" s="8" t="n">
        <v/>
      </c>
      <c r="M10" s="8" t="n">
        <v/>
      </c>
      <c r="N10" s="8" t="n">
        <v/>
      </c>
      <c r="O10" s="8" t="n">
        <v/>
      </c>
      <c r="P10" s="8" t="n">
        <v/>
      </c>
      <c r="Q10" s="8" t="n">
        <v/>
      </c>
      <c r="R10" s="8" t="n">
        <v/>
      </c>
      <c r="S10" s="8" t="n">
        <v/>
      </c>
      <c r="T10" s="8" t="n">
        <v/>
      </c>
      <c r="U10" s="8" t="n">
        <v/>
      </c>
      <c r="V10" s="8" t="n">
        <v/>
      </c>
      <c r="W10" s="8" t="n">
        <v/>
      </c>
      <c r="X10" s="8" t="n">
        <v/>
      </c>
      <c r="Y10" s="8" t="n">
        <v/>
      </c>
      <c r="Z10" s="8" t="n">
        <v/>
      </c>
      <c r="AA10" s="8" t="n">
        <v/>
      </c>
      <c r="AB10" s="8" t="n">
        <v/>
      </c>
      <c r="AC10" s="8" t="n">
        <v/>
      </c>
      <c r="AD10" s="8" t="n">
        <v/>
      </c>
      <c r="AE10" s="8" t="n">
        <v/>
      </c>
      <c r="AF10" s="14">
        <f>AVERAGE(B10:AE10)</f>
        <v/>
      </c>
      <c r="AG10" s="14">
        <f>STDEV(B10:AE10)</f>
        <v/>
      </c>
      <c r="AH10" s="14">
        <f>MIN(B10:AE10)</f>
        <v/>
      </c>
      <c r="AI10" s="14">
        <f>MAX(B10:AE10)</f>
        <v/>
      </c>
    </row>
    <row r="11">
      <c r="A11" s="13" t="inlineStr">
        <is>
          <t>F9 - Composition 1</t>
        </is>
      </c>
      <c r="B11" s="4" t="n">
        <v/>
      </c>
      <c r="C11" s="4" t="n">
        <v/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n">
        <v/>
      </c>
      <c r="AF11" s="14">
        <f>AVERAGE(B11:AE11)</f>
        <v/>
      </c>
      <c r="AG11" s="14">
        <f>STDEV(B11:AE11)</f>
        <v/>
      </c>
      <c r="AH11" s="14">
        <f>MIN(B11:AE11)</f>
        <v/>
      </c>
      <c r="AI11" s="14">
        <f>MAX(B11:AE11)</f>
        <v/>
      </c>
    </row>
    <row r="12">
      <c r="A12" s="15" t="inlineStr">
        <is>
          <t>F10 - Composition 2</t>
        </is>
      </c>
      <c r="B12" s="8" t="n">
        <v/>
      </c>
      <c r="C12" s="8" t="n">
        <v/>
      </c>
      <c r="D12" s="8" t="n">
        <v/>
      </c>
      <c r="E12" s="8" t="n">
        <v/>
      </c>
      <c r="F12" s="8" t="n">
        <v/>
      </c>
      <c r="G12" s="8" t="n">
        <v/>
      </c>
      <c r="H12" s="8" t="n">
        <v/>
      </c>
      <c r="I12" s="8" t="n">
        <v/>
      </c>
      <c r="J12" s="8" t="n">
        <v/>
      </c>
      <c r="K12" s="8" t="n">
        <v/>
      </c>
      <c r="L12" s="8" t="n">
        <v/>
      </c>
      <c r="M12" s="8" t="n">
        <v/>
      </c>
      <c r="N12" s="8" t="n">
        <v/>
      </c>
      <c r="O12" s="8" t="n">
        <v/>
      </c>
      <c r="P12" s="8" t="n">
        <v/>
      </c>
      <c r="Q12" s="8" t="n">
        <v/>
      </c>
      <c r="R12" s="8" t="n">
        <v/>
      </c>
      <c r="S12" s="8" t="n">
        <v/>
      </c>
      <c r="T12" s="8" t="n">
        <v/>
      </c>
      <c r="U12" s="8" t="n">
        <v/>
      </c>
      <c r="V12" s="8" t="n">
        <v/>
      </c>
      <c r="W12" s="8" t="n">
        <v/>
      </c>
      <c r="X12" s="8" t="n">
        <v/>
      </c>
      <c r="Y12" s="8" t="n">
        <v/>
      </c>
      <c r="Z12" s="8" t="n">
        <v/>
      </c>
      <c r="AA12" s="8" t="n">
        <v/>
      </c>
      <c r="AB12" s="8" t="n">
        <v/>
      </c>
      <c r="AC12" s="8" t="n">
        <v/>
      </c>
      <c r="AD12" s="8" t="n">
        <v/>
      </c>
      <c r="AE12" s="8" t="n">
        <v/>
      </c>
      <c r="AF12" s="14">
        <f>AVERAGE(B12:AE12)</f>
        <v/>
      </c>
      <c r="AG12" s="14">
        <f>STDEV(B12:AE12)</f>
        <v/>
      </c>
      <c r="AH12" s="14">
        <f>MIN(B12:AE12)</f>
        <v/>
      </c>
      <c r="AI12" s="14">
        <f>MAX(B12:AE12)</f>
        <v/>
      </c>
    </row>
    <row r="13">
      <c r="A13" s="13" t="inlineStr">
        <is>
          <t>F11 - Composition 3</t>
        </is>
      </c>
      <c r="B13" s="4" t="n">
        <v/>
      </c>
      <c r="C13" s="4" t="n">
        <v/>
      </c>
      <c r="D13" s="4" t="n">
        <v/>
      </c>
      <c r="E13" s="4" t="n">
        <v/>
      </c>
      <c r="F13" s="4" t="n">
        <v/>
      </c>
      <c r="G13" s="4" t="n">
        <v/>
      </c>
      <c r="H13" s="4" t="n">
        <v/>
      </c>
      <c r="I13" s="4" t="n">
        <v/>
      </c>
      <c r="J13" s="4" t="n">
        <v/>
      </c>
      <c r="K13" s="4" t="n">
        <v/>
      </c>
      <c r="L13" s="4" t="n">
        <v/>
      </c>
      <c r="M13" s="4" t="n">
        <v/>
      </c>
      <c r="N13" s="4" t="n">
        <v/>
      </c>
      <c r="O13" s="4" t="n">
        <v/>
      </c>
      <c r="P13" s="4" t="n">
        <v/>
      </c>
      <c r="Q13" s="4" t="n">
        <v/>
      </c>
      <c r="R13" s="4" t="n">
        <v/>
      </c>
      <c r="S13" s="4" t="n">
        <v/>
      </c>
      <c r="T13" s="4" t="n">
        <v/>
      </c>
      <c r="U13" s="4" t="n">
        <v/>
      </c>
      <c r="V13" s="4" t="n">
        <v/>
      </c>
      <c r="W13" s="4" t="n">
        <v/>
      </c>
      <c r="X13" s="4" t="n">
        <v/>
      </c>
      <c r="Y13" s="4" t="n">
        <v/>
      </c>
      <c r="Z13" s="4" t="n">
        <v/>
      </c>
      <c r="AA13" s="4" t="n">
        <v/>
      </c>
      <c r="AB13" s="4" t="n">
        <v/>
      </c>
      <c r="AC13" s="4" t="n">
        <v/>
      </c>
      <c r="AD13" s="4" t="n">
        <v/>
      </c>
      <c r="AE13" s="4" t="n">
        <v/>
      </c>
      <c r="AF13" s="14">
        <f>AVERAGE(B13:AE13)</f>
        <v/>
      </c>
      <c r="AG13" s="14">
        <f>STDEV(B13:AE13)</f>
        <v/>
      </c>
      <c r="AH13" s="14">
        <f>MIN(B13:AE13)</f>
        <v/>
      </c>
      <c r="AI13" s="14">
        <f>MAX(B13:AE13)</f>
        <v/>
      </c>
    </row>
    <row r="14">
      <c r="A14" s="15" t="inlineStr">
        <is>
          <t>F12 - Composition 4</t>
        </is>
      </c>
      <c r="B14" s="8" t="n">
        <v/>
      </c>
      <c r="C14" s="8" t="n">
        <v/>
      </c>
      <c r="D14" s="8" t="n">
        <v/>
      </c>
      <c r="E14" s="8" t="n">
        <v/>
      </c>
      <c r="F14" s="8" t="n">
        <v/>
      </c>
      <c r="G14" s="8" t="n">
        <v/>
      </c>
      <c r="H14" s="8" t="n">
        <v/>
      </c>
      <c r="I14" s="8" t="n">
        <v/>
      </c>
      <c r="J14" s="8" t="n">
        <v/>
      </c>
      <c r="K14" s="8" t="n">
        <v/>
      </c>
      <c r="L14" s="8" t="n">
        <v/>
      </c>
      <c r="M14" s="8" t="n">
        <v/>
      </c>
      <c r="N14" s="8" t="n">
        <v/>
      </c>
      <c r="O14" s="8" t="n">
        <v/>
      </c>
      <c r="P14" s="8" t="n">
        <v/>
      </c>
      <c r="Q14" s="8" t="n">
        <v/>
      </c>
      <c r="R14" s="8" t="n">
        <v/>
      </c>
      <c r="S14" s="8" t="n">
        <v/>
      </c>
      <c r="T14" s="8" t="n">
        <v/>
      </c>
      <c r="U14" s="8" t="n">
        <v/>
      </c>
      <c r="V14" s="8" t="n">
        <v/>
      </c>
      <c r="W14" s="8" t="n">
        <v/>
      </c>
      <c r="X14" s="8" t="n">
        <v/>
      </c>
      <c r="Y14" s="8" t="n">
        <v/>
      </c>
      <c r="Z14" s="8" t="n">
        <v/>
      </c>
      <c r="AA14" s="8" t="n">
        <v/>
      </c>
      <c r="AB14" s="8" t="n">
        <v/>
      </c>
      <c r="AC14" s="8" t="n">
        <v/>
      </c>
      <c r="AD14" s="8" t="n">
        <v/>
      </c>
      <c r="AE14" s="8" t="n">
        <v/>
      </c>
      <c r="AF14" s="14">
        <f>AVERAGE(B14:AE14)</f>
        <v/>
      </c>
      <c r="AG14" s="14">
        <f>STDEV(B14:AE14)</f>
        <v/>
      </c>
      <c r="AH14" s="14">
        <f>MIN(B14:AE14)</f>
        <v/>
      </c>
      <c r="AI14" s="14">
        <f>MAX(B14:AE14)</f>
        <v/>
      </c>
    </row>
  </sheetData>
  <mergeCells count="1">
    <mergeCell ref="A1:A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2026-03-16T12:29:56Z</dcterms:created>
  <dcterms:modified xsi:type="dcterms:W3CDTF">2026-03-16T12:29:56Z</dcterms:modified>
</cp:coreProperties>
</file>